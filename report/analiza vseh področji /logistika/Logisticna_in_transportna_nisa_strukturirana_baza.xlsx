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a77eaebaf745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Naslovnica" sheetId="1" r:id="R7566e5e9922749cd"/>
    <x:sheet xmlns:r="http://schemas.openxmlformats.org/officeDocument/2006/relationships" name="00_Kazalo" sheetId="2" r:id="Rf078eff175bb4f71"/>
    <x:sheet xmlns:r="http://schemas.openxmlformats.org/officeDocument/2006/relationships" name="01_Segmenti" sheetId="3" r:id="R63994bd975974ff2"/>
    <x:sheet xmlns:r="http://schemas.openxmlformats.org/officeDocument/2006/relationships" name="02_Persone" sheetId="4" r:id="Ra9835fd349d545ab"/>
    <x:sheet xmlns:r="http://schemas.openxmlformats.org/officeDocument/2006/relationships" name="03_Procesi" sheetId="5" r:id="Reff126856022490a"/>
    <x:sheet xmlns:r="http://schemas.openxmlformats.org/officeDocument/2006/relationships" name="04_Bolecine" sheetId="6" r:id="Red2211c25ad14216"/>
    <x:sheet xmlns:r="http://schemas.openxmlformats.org/officeDocument/2006/relationships" name="05_KPI" sheetId="7" r:id="Rf482b502b0724a7d"/>
    <x:sheet xmlns:r="http://schemas.openxmlformats.org/officeDocument/2006/relationships" name="06_Benchmarki" sheetId="8" r:id="Rbaa01a6ebd624e28"/>
    <x:sheet xmlns:r="http://schemas.openxmlformats.org/officeDocument/2006/relationships" name="07_Financne_formule" sheetId="9" r:id="R4f94ca4c57fe4658"/>
    <x:sheet xmlns:r="http://schemas.openxmlformats.org/officeDocument/2006/relationships" name="08_Dvojno_stetje" sheetId="10" r:id="R5162b655eba74162"/>
    <x:sheet xmlns:r="http://schemas.openxmlformats.org/officeDocument/2006/relationships" name="09_Podatkovni_slovar" sheetId="11" r:id="R5fd2ab86a4a44114"/>
    <x:sheet xmlns:r="http://schemas.openxmlformats.org/officeDocument/2006/relationships" name="10_PANTHEON_fit" sheetId="12" r:id="Ra518bdbc651245f5"/>
    <x:sheet xmlns:r="http://schemas.openxmlformats.org/officeDocument/2006/relationships" name="11_Vprasalnik" sheetId="13" r:id="R68f4a8423dea431f"/>
    <x:sheet xmlns:r="http://schemas.openxmlformats.org/officeDocument/2006/relationships" name="12_Razvejanje" sheetId="14" r:id="R2f539a04bfc649fe"/>
    <x:sheet xmlns:r="http://schemas.openxmlformats.org/officeDocument/2006/relationships" name="13_ICP_score" sheetId="15" r:id="Rbf28c8fae78c4da8"/>
    <x:sheet xmlns:r="http://schemas.openxmlformats.org/officeDocument/2006/relationships" name="14_VOC_hipoteze" sheetId="16" r:id="R9c37ca0e99864d13"/>
    <x:sheet xmlns:r="http://schemas.openxmlformats.org/officeDocument/2006/relationships" name="15_Regulativa" sheetId="17" r:id="R4a8f9af5c98c40e5"/>
    <x:sheet xmlns:r="http://schemas.openxmlformats.org/officeDocument/2006/relationships" name="16_Viri" sheetId="18" r:id="R0a688b7a8b1141d0"/>
    <x:sheet xmlns:r="http://schemas.openxmlformats.org/officeDocument/2006/relationships" name="17_Raziskovalne_vrzeli" sheetId="19" r:id="R447ea49cb4b44f18"/>
    <x:sheet xmlns:r="http://schemas.openxmlformats.org/officeDocument/2006/relationships" name="18_ROI_model" sheetId="20" r:id="Reb661032a597472a"/>
    <x:sheet xmlns:r="http://schemas.openxmlformats.org/officeDocument/2006/relationships" name="19_Kontrole" sheetId="21" r:id="R3f6b738126be46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 [$€-x-euro2]"/>
    <x:numFmt numFmtId="202" formatCode="0.0"/>
  </x:numFmts>
  <x:fonts count="13">
    <x:font>
      <x:sz val="11"/>
      <x:name val="Carlito"/>
    </x:font>
    <x:font>
      <x:b/>
      <x:sz val="17"/>
      <x:color rgb="FFFFFFFF"/>
      <x:name val="Aptos Display"/>
    </x:font>
    <x:font>
      <x:i/>
      <x:sz val="9"/>
      <x:color rgb="FF667085"/>
      <x:name val="Carlito"/>
    </x:font>
    <x:font>
      <x:sz val="12"/>
      <x:color rgb="FF17324D"/>
      <x:name val="Carlito"/>
    </x:font>
    <x:font>
      <x:b/>
      <x:sz val="9"/>
      <x:color rgb="FFFFFFFF"/>
      <x:name val="Carlito"/>
    </x:font>
    <x:font>
      <x:b/>
      <x:sz val="18"/>
      <x:color rgb="FF17324D"/>
      <x:name val="Carlito"/>
    </x:font>
    <x:font>
      <x:sz val="11"/>
      <x:color rgb="FF24364B"/>
      <x:name val="Carlito"/>
    </x:font>
    <x:font>
      <x:sz val="9"/>
      <x:color rgb="FF24364B"/>
      <x:name val="Carlito"/>
    </x:font>
    <x:font>
      <x:sz val="9"/>
      <x:color rgb="FFB42318"/>
      <x:name val="Carlito"/>
    </x:font>
    <x:font>
      <x:b/>
      <x:sz val="11"/>
      <x:color rgb="FFFFFFFF"/>
      <x:name val="Carlito"/>
    </x:font>
    <x:font>
      <x:sz val="11"/>
      <x:color rgb="FF1D4ED8"/>
      <x:name val="Carlito"/>
    </x:font>
    <x:font>
      <x:sz val="11"/>
      <x:color rgb="FF15803D"/>
      <x:name val="Carlito"/>
    </x:font>
    <x:font>
      <x:i/>
      <x:sz val="11"/>
      <x:color rgb="FF66708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9"/>
      </x:patternFill>
    </x:fill>
    <x:fill>
      <x:patternFill patternType="solid">
        <x:fgColor rgb="FFE7F6F3"/>
      </x:patternFill>
    </x:fill>
    <x:fill>
      <x:patternFill patternType="solid">
        <x:fgColor rgb="FF0F766E"/>
      </x:patternFill>
    </x:fill>
    <x:fill>
      <x:patternFill patternType="solid">
        <x:fgColor rgb="FFFFF4D6"/>
      </x:patternFill>
    </x:fill>
    <x:fill>
      <x:patternFill patternType="solid">
        <x:fgColor rgb="FFF6F8FA"/>
      </x:patternFill>
    </x:fill>
    <x:fill>
      <x:patternFill patternType="solid">
        <x:fgColor rgb="FFE8F5E9"/>
      </x:patternFill>
    </x:fill>
  </x:fills>
  <x:borders count="28">
    <x:border/>
    <x:border>
      <x:left style="medium">
        <x:color rgb="FF0F766E"/>
      </x:left>
      <x:top style="medium">
        <x:color rgb="FF0F766E"/>
      </x:top>
    </x:border>
    <x:border>
      <x:top style="medium">
        <x:color rgb="FF0F766E"/>
      </x:top>
    </x:border>
    <x:border>
      <x:right style="medium">
        <x:color rgb="FF0F766E"/>
      </x:right>
      <x:top style="medium">
        <x:color rgb="FF0F766E"/>
      </x:top>
    </x:border>
    <x:border>
      <x:left style="medium">
        <x:color rgb="FF0F766E"/>
      </x:left>
    </x:border>
    <x:border>
      <x:right style="medium">
        <x:color rgb="FF0F766E"/>
      </x:right>
    </x:border>
    <x:border>
      <x:left style="medium">
        <x:color rgb="FF0F766E"/>
      </x:left>
      <x:bottom style="medium">
        <x:color rgb="FF0F766E"/>
      </x:bottom>
    </x:border>
    <x:border>
      <x:bottom style="medium">
        <x:color rgb="FF0F766E"/>
      </x:bottom>
    </x:border>
    <x:border>
      <x:right style="medium">
        <x:color rgb="FF0F766E"/>
      </x:right>
      <x:bottom style="medium">
        <x:color rgb="FF0F766E"/>
      </x:bottom>
    </x:border>
    <x:border>
      <x:left style="thin">
        <x:color rgb="FFD0D9E3"/>
      </x:left>
      <x:right style="thin">
        <x:color rgb="FFD0D9E3"/>
      </x:right>
      <x:top style="thin">
        <x:color rgb="FFD0D9E3"/>
      </x:top>
      <x:bottom style="thin">
        <x:color rgb="FFD0D9E3"/>
      </x:bottom>
    </x:border>
    <x:border>
      <x:left style="thin">
        <x:color rgb="FFD99B2B"/>
      </x:left>
      <x:top style="thin">
        <x:color rgb="FFD99B2B"/>
      </x:top>
    </x:border>
    <x:border>
      <x:top style="thin">
        <x:color rgb="FFD99B2B"/>
      </x:top>
    </x:border>
    <x:border>
      <x:right style="thin">
        <x:color rgb="FFD99B2B"/>
      </x:right>
      <x:top style="thin">
        <x:color rgb="FFD99B2B"/>
      </x:top>
    </x:border>
    <x:border>
      <x:left style="thin">
        <x:color rgb="FFD99B2B"/>
      </x:left>
    </x:border>
    <x:border>
      <x:right style="thin">
        <x:color rgb="FFD99B2B"/>
      </x:right>
    </x:border>
    <x:border>
      <x:left style="thin">
        <x:color rgb="FFD99B2B"/>
      </x:left>
      <x:bottom style="thin">
        <x:color rgb="FFD99B2B"/>
      </x:bottom>
    </x:border>
    <x:border>
      <x:bottom style="thin">
        <x:color rgb="FFD99B2B"/>
      </x:bottom>
    </x:border>
    <x:border>
      <x:right style="thin">
        <x:color rgb="FFD99B2B"/>
      </x:right>
      <x:bottom style="thin">
        <x:color rgb="FFD99B2B"/>
      </x:bottom>
    </x:border>
    <x:border>
      <x:bottom style="medium">
        <x:color rgb="FF17324D"/>
      </x:bottom>
    </x:border>
    <x:border>
      <x:bottom style="thin">
        <x:color rgb="FFD0D9E3"/>
      </x:bottom>
    </x:border>
    <x:border>
      <x:top style="thin">
        <x:color rgb="FFD0D9E3"/>
      </x:top>
      <x:bottom style="thin">
        <x:color rgb="FFD0D9E3"/>
      </x:bottom>
    </x:border>
    <x:border>
      <x:top style="thin">
        <x:color rgb="FFD0D9E3"/>
      </x:top>
    </x:border>
    <x:border>
      <x:left style="thin">
        <x:color rgb="FFD0D9E3"/>
      </x:left>
      <x:top style="thin">
        <x:color rgb="FFD0D9E3"/>
      </x:top>
    </x:border>
    <x:border>
      <x:right style="thin">
        <x:color rgb="FFD0D9E3"/>
      </x:right>
      <x:top style="thin">
        <x:color rgb="FFD0D9E3"/>
      </x:top>
    </x:border>
    <x:border>
      <x:left style="thin">
        <x:color rgb="FFD0D9E3"/>
      </x:left>
    </x:border>
    <x:border>
      <x:right style="thin">
        <x:color rgb="FFD0D9E3"/>
      </x:right>
    </x:border>
    <x:border>
      <x:left style="thin">
        <x:color rgb="FFD0D9E3"/>
      </x:left>
      <x:bottom style="thin">
        <x:color rgb="FFD0D9E3"/>
      </x:bottom>
    </x:border>
    <x:border>
      <x:right style="thin">
        <x:color rgb="FFD0D9E3"/>
      </x:right>
      <x:bottom style="thin">
        <x:color rgb="FFD0D9E3"/>
      </x:bottom>
    </x:border>
  </x:borders>
  <x:cellStyleXfs count="1">
    <x:xf numFmtId="0" fontId="0" fillId="0" borderId="0"/>
  </x:cellStyleXfs>
  <x:cellXfs count="1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9" xfId="0" applyNumberFormat="1" applyFont="1" applyFill="1" applyBorder="1"/>
    <x:xf numFmtId="0" fontId="5" fillId="3" borderId="9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0" xfId="0" applyNumberFormat="1" applyFont="1" applyFill="1" applyBorder="1"/>
    <x:xf numFmtId="0" fontId="6" fillId="6" borderId="11" xfId="0" applyNumberFormat="1" applyFont="1" applyFill="1" applyBorder="1"/>
    <x:xf numFmtId="0" fontId="6" fillId="6" borderId="12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0" xfId="0" applyNumberFormat="1" applyFont="1" applyFill="1" applyBorder="1" applyAlignment="1">
      <x:alignment wrapText="1"/>
    </x:xf>
    <x:xf numFmtId="0" fontId="6" fillId="6" borderId="11" xfId="0" applyNumberFormat="1" applyFont="1" applyFill="1" applyBorder="1" applyAlignment="1">
      <x:alignment wrapText="1"/>
    </x:xf>
    <x:xf numFmtId="0" fontId="6" fillId="6" borderId="12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6" xfId="0" applyNumberFormat="1" applyFont="1" applyFill="1" applyBorder="1" applyAlignment="1">
      <x:alignment wrapText="1"/>
    </x:xf>
    <x:xf numFmtId="0" fontId="6" fillId="6" borderId="17" xfId="0" applyNumberFormat="1" applyFont="1" applyFill="1" applyBorder="1" applyAlignment="1">
      <x:alignment wrapText="1"/>
    </x:xf>
    <x:xf numFmtId="0" fontId="6" fillId="6" borderId="10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6" fillId="6" borderId="12" xfId="0" applyNumberFormat="1" applyFont="1" applyFill="1" applyBorder="1" applyAlignment="1">
      <x:alignment vertical="center"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6" fillId="6" borderId="16" xfId="0" applyNumberFormat="1" applyFont="1" applyFill="1" applyBorder="1" applyAlignment="1">
      <x:alignment vertical="center" wrapText="1"/>
    </x:xf>
    <x:xf numFmtId="0" fontId="6" fillId="6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/>
    <x:xf numFmtId="0" fontId="4" fillId="5" borderId="18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9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19" xfId="0" applyNumberFormat="1" applyFont="1" applyFill="1" applyBorder="1" applyAlignment="1">
      <x:alignment wrapText="1"/>
    </x:xf>
    <x:xf numFmtId="0" fontId="7" fillId="0" borderId="20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7" borderId="20" xfId="0" applyNumberFormat="1" applyFont="1" applyFill="1" applyBorder="1" applyAlignment="1">
      <x:alignment vertical="top" wrapText="1"/>
    </x:xf>
    <x:xf numFmtId="0" fontId="7" fillId="7" borderId="21" xfId="0" applyNumberFormat="1" applyFont="1" applyFill="1" applyBorder="1" applyAlignment="1">
      <x:alignment vertical="top" wrapText="1"/>
    </x:xf>
    <x:xf numFmtId="0" fontId="8" fillId="0" borderId="19" xfId="0" applyNumberFormat="1" applyFont="1" applyFill="1" applyBorder="1" applyAlignment="1">
      <x:alignment vertical="top" wrapText="1"/>
    </x:xf>
    <x:xf numFmtId="0" fontId="8" fillId="7" borderId="20" xfId="0" applyNumberFormat="1" applyFont="1" applyFill="1" applyBorder="1" applyAlignment="1">
      <x:alignment vertical="top" wrapText="1"/>
    </x:xf>
    <x:xf numFmtId="0" fontId="8" fillId="0" borderId="20" xfId="0" applyNumberFormat="1" applyFont="1" applyFill="1" applyBorder="1" applyAlignment="1">
      <x:alignment vertical="top" wrapText="1"/>
    </x:xf>
    <x:xf numFmtId="0" fontId="8" fillId="0" borderId="21" xfId="0" applyNumberFormat="1" applyFont="1" applyFill="1" applyBorder="1" applyAlignment="1">
      <x:alignment vertical="top" wrapText="1"/>
    </x:xf>
    <x:xf numFmtId="0" fontId="8" fillId="7" borderId="2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vertical="top" wrapText="1"/>
    </x:xf>
    <x:xf numFmtId="0" fontId="10" fillId="0" borderId="9" xfId="0" applyNumberFormat="1" applyFont="1" applyFill="1" applyBorder="1" applyAlignment="1">
      <x:alignment vertical="top" wrapText="1"/>
    </x:xf>
    <x:xf numFmtId="200" fontId="10" fillId="0" borderId="9" xfId="0" applyNumberFormat="1" applyFont="1" applyFill="1" applyBorder="1" applyAlignment="1">
      <x:alignment vertical="top" wrapText="1"/>
    </x:xf>
    <x:xf numFmtId="201" fontId="10" fillId="0" borderId="9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11" fillId="0" borderId="9" xfId="0" applyNumberFormat="1" applyFont="1" applyFill="1" applyBorder="1" applyAlignment="1">
      <x:alignment wrapText="1"/>
    </x:xf>
    <x:xf numFmtId="201" fontId="11" fillId="0" borderId="9" xfId="0" applyNumberFormat="1" applyFont="1" applyFill="1" applyBorder="1" applyAlignment="1">
      <x:alignment wrapText="1"/>
    </x:xf>
    <x:xf numFmtId="200" fontId="11" fillId="0" borderId="9" xfId="0" applyNumberFormat="1" applyFont="1" applyFill="1" applyBorder="1" applyAlignment="1">
      <x:alignment wrapText="1"/>
    </x:xf>
    <x:xf numFmtId="202" fontId="11" fillId="0" borderId="9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201" fontId="11" fillId="8" borderId="9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200" fontId="11" fillId="6" borderId="9" xfId="0" applyNumberFormat="1" applyFont="1" applyFill="1" applyBorder="1" applyAlignment="1">
      <x:alignment wrapText="1"/>
    </x:xf>
    <x:xf numFmtId="202" fontId="11" fillId="6" borderId="9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2" fillId="3" borderId="22" xfId="0" applyNumberFormat="1" applyFont="1" applyFill="1" applyBorder="1"/>
    <x:xf numFmtId="0" fontId="12" fillId="3" borderId="21" xfId="0" applyNumberFormat="1" applyFont="1" applyFill="1" applyBorder="1"/>
    <x:xf numFmtId="0" fontId="12" fillId="3" borderId="23" xfId="0" applyNumberFormat="1" applyFont="1" applyFill="1" applyBorder="1"/>
    <x:xf numFmtId="0" fontId="12" fillId="3" borderId="24" xfId="0" applyNumberFormat="1" applyFont="1" applyFill="1" applyBorder="1"/>
    <x:xf numFmtId="0" fontId="12" fillId="3" borderId="25" xfId="0" applyNumberFormat="1" applyFont="1" applyFill="1" applyBorder="1"/>
    <x:xf numFmtId="0" fontId="12" fillId="3" borderId="26" xfId="0" applyNumberFormat="1" applyFont="1" applyFill="1" applyBorder="1"/>
    <x:xf numFmtId="0" fontId="12" fillId="3" borderId="19" xfId="0" applyNumberFormat="1" applyFont="1" applyFill="1" applyBorder="1"/>
    <x:xf numFmtId="0" fontId="12" fillId="3" borderId="27" xfId="0" applyNumberFormat="1" applyFont="1" applyFill="1" applyBorder="1"/>
    <x:xf numFmtId="0" fontId="12" fillId="3" borderId="22" xfId="0" applyNumberFormat="1" applyFont="1" applyFill="1" applyBorder="1" applyAlignment="1">
      <x:alignment wrapText="1"/>
    </x:xf>
    <x:xf numFmtId="0" fontId="12" fillId="3" borderId="21" xfId="0" applyNumberFormat="1" applyFont="1" applyFill="1" applyBorder="1" applyAlignment="1">
      <x:alignment wrapText="1"/>
    </x:xf>
    <x:xf numFmtId="0" fontId="12" fillId="3" borderId="23" xfId="0" applyNumberFormat="1" applyFont="1" applyFill="1" applyBorder="1" applyAlignment="1">
      <x:alignment wrapText="1"/>
    </x:xf>
    <x:xf numFmtId="0" fontId="12" fillId="3" borderId="24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wrapText="1"/>
    </x:xf>
    <x:xf numFmtId="0" fontId="12" fillId="3" borderId="25" xfId="0" applyNumberFormat="1" applyFont="1" applyFill="1" applyBorder="1" applyAlignment="1">
      <x:alignment wrapText="1"/>
    </x:xf>
    <x:xf numFmtId="0" fontId="12" fillId="3" borderId="26" xfId="0" applyNumberFormat="1" applyFont="1" applyFill="1" applyBorder="1" applyAlignment="1">
      <x:alignment wrapText="1"/>
    </x:xf>
    <x:xf numFmtId="0" fontId="12" fillId="3" borderId="19" xfId="0" applyNumberFormat="1" applyFont="1" applyFill="1" applyBorder="1" applyAlignment="1">
      <x:alignment wrapText="1"/>
    </x:xf>
    <x:xf numFmtId="0" fontId="12" fillId="3" borderId="27" xfId="0" applyNumberFormat="1" applyFont="1" applyFill="1" applyBorder="1" applyAlignment="1">
      <x:alignment wrapText="1"/>
    </x:xf>
    <x:xf numFmtId="0" fontId="12" fillId="3" borderId="22" xfId="0" applyNumberFormat="1" applyFont="1" applyFill="1" applyBorder="1" applyAlignment="1">
      <x:alignment vertical="center" wrapText="1"/>
    </x:xf>
    <x:xf numFmtId="0" fontId="12" fillId="3" borderId="21" xfId="0" applyNumberFormat="1" applyFont="1" applyFill="1" applyBorder="1" applyAlignment="1">
      <x:alignment vertical="center" wrapText="1"/>
    </x:xf>
    <x:xf numFmtId="0" fontId="12" fillId="3" borderId="23" xfId="0" applyNumberFormat="1" applyFont="1" applyFill="1" applyBorder="1" applyAlignment="1">
      <x:alignment vertical="center" wrapText="1"/>
    </x:xf>
    <x:xf numFmtId="0" fontId="12" fillId="3" borderId="24" xfId="0" applyNumberFormat="1" applyFont="1" applyFill="1" applyBorder="1" applyAlignment="1">
      <x:alignment vertical="center"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25" xfId="0" applyNumberFormat="1" applyFont="1" applyFill="1" applyBorder="1" applyAlignment="1">
      <x:alignment vertical="center" wrapText="1"/>
    </x:xf>
    <x:xf numFmtId="0" fontId="12" fillId="3" borderId="26" xfId="0" applyNumberFormat="1" applyFont="1" applyFill="1" applyBorder="1" applyAlignment="1">
      <x:alignment vertical="center" wrapText="1"/>
    </x:xf>
    <x:xf numFmtId="0" fontId="12" fillId="3" borderId="19" xfId="0" applyNumberFormat="1" applyFont="1" applyFill="1" applyBorder="1" applyAlignment="1">
      <x:alignment vertical="center" wrapText="1"/>
    </x:xf>
    <x:xf numFmtId="0" fontId="12" fillId="3" borderId="27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f873770d104441" /><Relationship Type="http://schemas.openxmlformats.org/officeDocument/2006/relationships/theme" Target="/xl/theme/theme1.xml" Id="Rada68784a6734eee" /><Relationship Type="http://schemas.openxmlformats.org/officeDocument/2006/relationships/sharedStrings" Target="/xl/sharedStrings.xml" Id="Re9aab01d49e5400a" /><Relationship Type="http://schemas.openxmlformats.org/officeDocument/2006/relationships/worksheet" Target="/xl/worksheets/sheet1.xml" Id="R7566e5e9922749cd" /><Relationship Type="http://schemas.openxmlformats.org/officeDocument/2006/relationships/worksheet" Target="/xl/worksheets/sheet2.xml" Id="Rf078eff175bb4f71" /><Relationship Type="http://schemas.openxmlformats.org/officeDocument/2006/relationships/worksheet" Target="/xl/worksheets/sheet3.xml" Id="R63994bd975974ff2" /><Relationship Type="http://schemas.openxmlformats.org/officeDocument/2006/relationships/worksheet" Target="/xl/worksheets/sheet4.xml" Id="Ra9835fd349d545ab" /><Relationship Type="http://schemas.openxmlformats.org/officeDocument/2006/relationships/worksheet" Target="/xl/worksheets/sheet5.xml" Id="Reff126856022490a" /><Relationship Type="http://schemas.openxmlformats.org/officeDocument/2006/relationships/worksheet" Target="/xl/worksheets/sheet6.xml" Id="Red2211c25ad14216" /><Relationship Type="http://schemas.openxmlformats.org/officeDocument/2006/relationships/worksheet" Target="/xl/worksheets/sheet7.xml" Id="Rf482b502b0724a7d" /><Relationship Type="http://schemas.openxmlformats.org/officeDocument/2006/relationships/worksheet" Target="/xl/worksheets/sheet8.xml" Id="Rbaa01a6ebd624e28" /><Relationship Type="http://schemas.openxmlformats.org/officeDocument/2006/relationships/worksheet" Target="/xl/worksheets/sheet9.xml" Id="R4f94ca4c57fe4658" /><Relationship Type="http://schemas.openxmlformats.org/officeDocument/2006/relationships/worksheet" Target="/xl/worksheets/sheet10.xml" Id="R5162b655eba74162" /><Relationship Type="http://schemas.openxmlformats.org/officeDocument/2006/relationships/worksheet" Target="/xl/worksheets/sheet11.xml" Id="R5fd2ab86a4a44114" /><Relationship Type="http://schemas.openxmlformats.org/officeDocument/2006/relationships/worksheet" Target="/xl/worksheets/sheet12.xml" Id="Ra518bdbc651245f5" /><Relationship Type="http://schemas.openxmlformats.org/officeDocument/2006/relationships/worksheet" Target="/xl/worksheets/sheet13.xml" Id="R68f4a8423dea431f" /><Relationship Type="http://schemas.openxmlformats.org/officeDocument/2006/relationships/worksheet" Target="/xl/worksheets/sheet14.xml" Id="R2f539a04bfc649fe" /><Relationship Type="http://schemas.openxmlformats.org/officeDocument/2006/relationships/worksheet" Target="/xl/worksheets/sheet15.xml" Id="Rbf28c8fae78c4da8" /><Relationship Type="http://schemas.openxmlformats.org/officeDocument/2006/relationships/worksheet" Target="/xl/worksheets/sheet16.xml" Id="R9c37ca0e99864d13" /><Relationship Type="http://schemas.openxmlformats.org/officeDocument/2006/relationships/worksheet" Target="/xl/worksheets/sheet17.xml" Id="R4a8f9af5c98c40e5" /><Relationship Type="http://schemas.openxmlformats.org/officeDocument/2006/relationships/worksheet" Target="/xl/worksheets/sheet18.xml" Id="R0a688b7a8b1141d0" /><Relationship Type="http://schemas.openxmlformats.org/officeDocument/2006/relationships/worksheet" Target="/xl/worksheets/sheet19.xml" Id="R447ea49cb4b44f18" /><Relationship Type="http://schemas.openxmlformats.org/officeDocument/2006/relationships/worksheet" Target="/xl/worksheets/sheet20.xml" Id="Reb661032a597472a" /><Relationship Type="http://schemas.openxmlformats.org/officeDocument/2006/relationships/worksheet" Target="/xl/worksheets/sheet21.xml" Id="R3f6b738126be46a2" /><Relationship Type="http://schemas.microsoft.com/office/2017/10/relationships/person" Target="/xl/persons/person.xml" Id="Rebdb3f829b4941fc" /></Relationships>
</file>

<file path=xl/persons/person.xml><?xml version="1.0" encoding="utf-8"?>
<xltc:personList xmlns:xltc="http://schemas.microsoft.com/office/spreadsheetml/2018/threadedcomments">
  <xltc:person displayName="Datalab research" id="{67A886BB-D562-44FE-A6E9-F93C49AB1B80}"/>
</xltc:personList>
</file>

<file path=xl/tables/table1.xml><?xml version="1.0" encoding="utf-8"?>
<x:table xmlns:x="http://schemas.openxmlformats.org/spreadsheetml/2006/main" id="1" name="TblKazalo" displayName="TblKazalo" ref="A4:C23" headerRowCount="1" totalsRowCount="0" totalsRowShown="0">
  <x:tableColumns count="3">
    <x:tableColumn id="1" name="List"/>
    <x:tableColumn id="2" name="Vsebina"/>
    <x:tableColumn id="3" name="Uporab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Segmenti" displayName="TblSegmenti" ref="A4:G16" headerRowCount="1" totalsRowCount="0" totalsRowShown="0">
  <x:tableColumns count="7">
    <x:tableColumn id="1" name="ID"/>
    <x:tableColumn id="2" name="Arhetip"/>
    <x:tableColumn id="3" name="Opis"/>
    <x:tableColumn id="4" name="Ekonomska enota"/>
    <x:tableColumn id="5" name="Ključna ekonomika"/>
    <x:tableColumn id="6" name="SKD približek"/>
    <x:tableColumn id="7" name="Prioritet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ersone" displayName="TblPersone" ref="A4:F15" headerRowCount="1" totalsRowCount="0" totalsRowShown="0">
  <x:tableColumns count="6">
    <x:tableColumn id="1" name="ID"/>
    <x:tableColumn id="2" name="Persona"/>
    <x:tableColumn id="3" name="Cilji"/>
    <x:tableColumn id="4" name="Bolečine"/>
    <x:tableColumn id="5" name="Dokazi"/>
    <x:tableColumn id="6" name="Vlog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Procesi" displayName="TblProcesi" ref="A4:H32" headerRowCount="1" totalsRowCount="0" totalsRowShown="0">
  <x:tableColumns count="8">
    <x:tableColumn id="1" name="ID"/>
    <x:tableColumn id="2" name="Proces"/>
    <x:tableColumn id="3" name="Lastnik"/>
    <x:tableColumn id="4" name="Tok"/>
    <x:tableColumn id="5" name="Vhodi"/>
    <x:tableColumn id="6" name="Izhod"/>
    <x:tableColumn id="7" name="KPI"/>
    <x:tableColumn id="8" name="Tipične odpovedi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Bolecine" displayName="TblBolecine" ref="A4:H60" headerRowCount="1" totalsRowCount="0" totalsRowShown="0">
  <x:tableColumns count="8">
    <x:tableColumn id="1" name="ID"/>
    <x:tableColumn id="2" name="Proces ID"/>
    <x:tableColumn id="3" name="Proces"/>
    <x:tableColumn id="4" name="Bolečina"/>
    <x:tableColumn id="5" name="Posledica"/>
    <x:tableColumn id="6" name="Kategorija"/>
    <x:tableColumn id="7" name="Dokaz"/>
    <x:tableColumn id="8" name="Razr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KPI" displayName="TblKPI" ref="A4:H40" headerRowCount="1" totalsRowCount="0" totalsRowShown="0">
  <x:tableColumns count="8">
    <x:tableColumn id="1" name="ID"/>
    <x:tableColumn id="2" name="KPI"/>
    <x:tableColumn id="3" name="Domena"/>
    <x:tableColumn id="4" name="Formula"/>
    <x:tableColumn id="5" name="Enota"/>
    <x:tableColumn id="6" name="Frekvenca"/>
    <x:tableColumn id="7" name="Omejitev"/>
    <x:tableColumn id="8" name="Vi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Benchmarki" displayName="TblBenchmarki" ref="A4:H29" headerRowCount="1" totalsRowCount="0" totalsRowShown="0">
  <x:tableColumns count="8">
    <x:tableColumn id="1" name="ID"/>
    <x:tableColumn id="2" name="Kazalnik"/>
    <x:tableColumn id="3" name="Vrednost"/>
    <x:tableColumn id="4" name="Enota"/>
    <x:tableColumn id="5" name="Obdobje"/>
    <x:tableColumn id="6" name="Pravilna uporaba"/>
    <x:tableColumn id="7" name="Razred"/>
    <x:tableColumn id="8" name="Vi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Formule" displayName="TblFormule" ref="A4:F29" headerRowCount="1" totalsRowCount="0" totalsRowShown="0">
  <x:tableColumns count="6">
    <x:tableColumn id="1" name="ID"/>
    <x:tableColumn id="2" name="Naziv"/>
    <x:tableColumn id="3" name="Formula"/>
    <x:tableColumn id="4" name="Izhod"/>
    <x:tableColumn id="5" name="Vhodi"/>
    <x:tableColumn id="6" name="Opozoril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DoubleCount" displayName="TblDoubleCount" ref="A4:D16" headerRowCount="1" totalsRowCount="0" totalsRowShown="0">
  <x:tableColumns count="4">
    <x:tableColumn id="1" name="ID"/>
    <x:tableColumn id="2" name="Korist A"/>
    <x:tableColumn id="3" name="Korist B"/>
    <x:tableColumn id="4" name="Pravil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DataDictionary" displayName="TblDataDictionary" ref="A4:G133" headerRowCount="1" totalsRowCount="0" totalsRowShown="0">
  <x:tableColumns count="7">
    <x:tableColumn id="1" name="ID"/>
    <x:tableColumn id="2" name="Entiteta"/>
    <x:tableColumn id="3" name="Polje ali dogodek"/>
    <x:tableColumn id="4" name="Lastnik"/>
    <x:tableColumn id="5" name="Vir"/>
    <x:tableColumn id="6" name="Frekvenca"/>
    <x:tableColumn id="7" name="Pravil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PantheonFit" displayName="TblPantheonFit" ref="A4:E31" headerRowCount="1" totalsRowCount="0" totalsRowShown="0">
  <x:tableColumns count="5">
    <x:tableColumn id="1" name="ID"/>
    <x:tableColumn id="2" name="Zmožnost"/>
    <x:tableColumn id="3" name="Kategorija"/>
    <x:tableColumn id="4" name="Interpretacija"/>
    <x:tableColumn id="5" name="Vir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Vprasalnik" displayName="TblVprasalnik" ref="A4:H70" headerRowCount="1" totalsRowCount="0" totalsRowShown="0">
  <x:tableColumns count="8">
    <x:tableColumn id="1" name="ID"/>
    <x:tableColumn id="2" name="Globina"/>
    <x:tableColumn id="3" name="Domena"/>
    <x:tableColumn id="4" name="Vprašanje"/>
    <x:tableColumn id="5" name="Tip"/>
    <x:tableColumn id="6" name="Pogoj"/>
    <x:tableColumn id="7" name="Namen"/>
    <x:tableColumn id="8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Branching" displayName="TblBranching" ref="A4:D19" headerRowCount="1" totalsRowCount="0" totalsRowShown="0">
  <x:tableColumns count="4">
    <x:tableColumn id="1" name="ID"/>
    <x:tableColumn id="2" name="Pogoj"/>
    <x:tableColumn id="3" name="Akcija"/>
    <x:tableColumn id="4" name="Kontrola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ICP" displayName="TblICP" ref="A4:E15" headerRowCount="1" totalsRowCount="0" totalsRowShown="0">
  <x:tableColumns count="5">
    <x:tableColumn id="1" name="ID"/>
    <x:tableColumn id="2" name="Kriterij"/>
    <x:tableColumn id="3" name="Teža"/>
    <x:tableColumn id="4" name="Ocenjevanje"/>
    <x:tableColumn id="5" name="Vir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blVOC" displayName="TblVOC" ref="A4:E16" headerRowCount="1" totalsRowCount="0" totalsRowShown="0">
  <x:tableColumns count="5">
    <x:tableColumn id="1" name="ID"/>
    <x:tableColumn id="2" name="Persona"/>
    <x:tableColumn id="3" name="Hipotetična izjava"/>
    <x:tableColumn id="4" name="Tema"/>
    <x:tableColumn id="5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blRegulativa" displayName="TblRegulativa" ref="A4:G17" headerRowCount="1" totalsRowCount="0" totalsRowShown="0">
  <x:tableColumns count="7">
    <x:tableColumn id="1" name="ID"/>
    <x:tableColumn id="2" name="Obveznost"/>
    <x:tableColumn id="3" name="Območje"/>
    <x:tableColumn id="4" name="Rok/stanje"/>
    <x:tableColumn id="5" name="Kaj pomeni"/>
    <x:tableColumn id="6" name="Podatkovni vpliv"/>
    <x:tableColumn id="7" name="Vir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blViri" displayName="TblViri" ref="A4:G48" headerRowCount="1" totalsRowCount="0" totalsRowShown="0">
  <x:tableColumns count="7">
    <x:tableColumn id="1" name="ID"/>
    <x:tableColumn id="2" name="Izdajatelj"/>
    <x:tableColumn id="3" name="Naslov"/>
    <x:tableColumn id="4" name="Datum"/>
    <x:tableColumn id="5" name="Razred"/>
    <x:tableColumn id="6" name="Uporaba"/>
    <x:tableColumn id="7" name="UR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blGaps" displayName="TblGaps" ref="A4:E14" headerRowCount="1" totalsRowCount="0" totalsRowShown="0">
  <x:tableColumns count="5">
    <x:tableColumn id="1" name="ID"/>
    <x:tableColumn id="2" name="Vrzel"/>
    <x:tableColumn id="3" name="Predlagani vir/metoda"/>
    <x:tableColumn id="4" name="Prioriteta"/>
    <x:tableColumn id="5" name="Razlo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a1e33a0eab4d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46e83d40b24d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b33cf7a483043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dbfc8d81c941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01272c3ac1744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fd4e6e7603427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b786514a454c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f838af54de4463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3ed8283dc5745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407047ed57d4d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920f8be0ccc44f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56d154cba57408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dbe2e89fa1d2434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2dfdb025f6e5497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46f95388fb8e4de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c0c09b22aa7049e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a09f9149942d496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542c096a6c1743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8" hidden="0" customWidth="1"/>
  </x:cols>
  <x:sheetData>
    <x:row r="1" ht="34" customHeight="1">
      <x:c r="A1" s="4" t="str">
        <x:v>LOGISTIČNA IN TRANSPORTNA NIŠA</x:v>
      </x:c>
      <x:c r="B1" s="4"/>
      <x:c r="C1" s="4"/>
      <x:c r="D1" s="4"/>
      <x:c r="E1" s="4"/>
      <x:c r="F1" s="4"/>
      <x:c r="G1" s="4"/>
      <x:c r="H1" s="4"/>
      <x:c r="I1" s="4"/>
    </x:row>
    <x:row r="2" ht="31" customHeight="1">
      <x:c r="A2" s="8" t="str">
        <x:v>Strukturirana baza znanja, diagnostični katalog in scenarijski ROI-model | stanje virov 7. 8. 2026</x:v>
      </x:c>
      <x:c r="B2" s="8"/>
      <x:c r="C2" s="8"/>
      <x:c r="D2" s="8"/>
      <x:c r="E2" s="8"/>
      <x:c r="F2" s="8"/>
      <x:c r="G2" s="8"/>
      <x:c r="H2" s="8"/>
      <x:c r="I2" s="8"/>
    </x:row>
    <x:row r="4">
      <x:c r="A4" s="28" t="str">
        <x:v>Namen
Enotno podatkovno jedro za ROI kalkulator, adaptivni vprašalnik, digitalno zrelost, ICP/lead scoring, prodajne playbooke, PANTHEON usmerjanje, business case in AI-agente.</x:v>
      </x:c>
      <x:c r="B4" s="29"/>
      <x:c r="C4" s="29"/>
      <x:c r="D4" s="29"/>
      <x:c r="E4" s="29"/>
      <x:c r="F4" s="29"/>
      <x:c r="G4" s="29"/>
      <x:c r="H4" s="29"/>
      <x:c r="I4" s="30"/>
    </x:row>
    <x:row r="5">
      <x:c r="A5" s="31"/>
      <x:c r="B5" s="32"/>
      <x:c r="C5" s="32"/>
      <x:c r="D5" s="32"/>
      <x:c r="E5" s="32"/>
      <x:c r="F5" s="32"/>
      <x:c r="G5" s="32"/>
      <x:c r="H5" s="32"/>
      <x:c r="I5" s="33"/>
    </x:row>
    <x:row r="6">
      <x:c r="A6" s="34"/>
      <x:c r="B6" s="35"/>
      <x:c r="C6" s="35"/>
      <x:c r="D6" s="35"/>
      <x:c r="E6" s="35"/>
      <x:c r="F6" s="35"/>
      <x:c r="G6" s="35"/>
      <x:c r="H6" s="35"/>
      <x:c r="I6" s="36"/>
    </x:row>
    <x:row r="8">
      <x:c r="A8" s="40" t="str">
        <x:v>Segmenti</x:v>
      </x:c>
      <x:c r="B8" s="40" t="str">
        <x:v>Procesi</x:v>
      </x:c>
      <x:c r="C8" s="40" t="str">
        <x:v>Bolečine</x:v>
      </x:c>
      <x:c r="D8" s="40" t="str">
        <x:v>KPI</x:v>
      </x:c>
      <x:c r="E8" s="40" t="str">
        <x:v>Benchmarki</x:v>
      </x:c>
      <x:c r="F8" s="40" t="str">
        <x:v>Vprašanja</x:v>
      </x:c>
      <x:c r="G8" s="40" t="str">
        <x:v>Viri</x:v>
      </x:c>
      <x:c r="H8" s="40" t="str">
        <x:v>Podatkovna polja</x:v>
      </x:c>
    </x:row>
    <x:row r="9">
      <x:c r="A9" s="43" t="n">
        <x:v>12</x:v>
      </x:c>
      <x:c r="B9" s="43" t="n">
        <x:v>28</x:v>
      </x:c>
      <x:c r="C9" s="43" t="n">
        <x:v>56</x:v>
      </x:c>
      <x:c r="D9" s="43" t="n">
        <x:v>36</x:v>
      </x:c>
      <x:c r="E9" s="43" t="n">
        <x:v>25</x:v>
      </x:c>
      <x:c r="F9" s="43" t="n">
        <x:v>66</x:v>
      </x:c>
      <x:c r="G9" s="43" t="n">
        <x:v>44</x:v>
      </x:c>
      <x:c r="H9" s="43" t="n">
        <x:v>129</x:v>
      </x:c>
    </x:row>
    <x:row r="12">
      <x:c r="A12" s="63" t="str">
        <x:v>Pravila uporabe
1) Benchmark je kontrolni okvir, ne privzeti prihranek. 2) Ure so kapaciteta, dokler ni določen mehanizem denarne realizacije. 3) Sprostitev zaloge/terjatev je enkratni cash flow. 4) PANTHEON zmožnosti so ločene na neposredno, partner/granula, integracijo in specialista. 5) Modri vnosi v ROI-modelu so ilustrativni in jih je treba zamenjati z baseline podatki ter aktualno ponudbo.</x:v>
      </x:c>
      <x:c r="B12" s="64"/>
      <x:c r="C12" s="64"/>
      <x:c r="D12" s="64"/>
      <x:c r="E12" s="64"/>
      <x:c r="F12" s="64"/>
      <x:c r="G12" s="64"/>
      <x:c r="H12" s="64"/>
      <x:c r="I12" s="65"/>
    </x:row>
    <x:row r="13">
      <x:c r="A13" s="66"/>
      <x:c r="B13" s="67"/>
      <x:c r="C13" s="67"/>
      <x:c r="D13" s="67"/>
      <x:c r="E13" s="67"/>
      <x:c r="F13" s="67"/>
      <x:c r="G13" s="67"/>
      <x:c r="H13" s="67"/>
      <x:c r="I13" s="68"/>
    </x:row>
    <x:row r="14">
      <x:c r="A14" s="66"/>
      <x:c r="B14" s="67"/>
      <x:c r="C14" s="67"/>
      <x:c r="D14" s="67"/>
      <x:c r="E14" s="67"/>
      <x:c r="F14" s="67"/>
      <x:c r="G14" s="67"/>
      <x:c r="H14" s="67"/>
      <x:c r="I14" s="68"/>
    </x:row>
    <x:row r="15">
      <x:c r="A15" s="69"/>
      <x:c r="B15" s="70"/>
      <x:c r="C15" s="70"/>
      <x:c r="D15" s="70"/>
      <x:c r="E15" s="70"/>
      <x:c r="F15" s="70"/>
      <x:c r="G15" s="70"/>
      <x:c r="H15" s="70"/>
      <x:c r="I15" s="71"/>
    </x:row>
  </x:sheetData>
  <x:mergeCells>
    <x:mergeCell ref="A1:I1"/>
    <x:mergeCell ref="A2:I2"/>
    <x:mergeCell ref="A4:I6"/>
    <x:mergeCell ref="A12:I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0" hidden="0" customWidth="1"/>
    <x:col min="3" max="3" width="48" hidden="0" customWidth="1"/>
  </x:cols>
  <x:sheetData>
    <x:row r="1" ht="34" customHeight="1">
      <x:c r="A1" s="4" t="str">
        <x:v>Kazalo delovnega zvezka</x:v>
      </x:c>
      <x:c r="B1" s="4"/>
      <x:c r="C1" s="4"/>
    </x:row>
    <x:row r="2" ht="31" customHeight="1">
      <x:c r="A2" s="8" t="str">
        <x:v>Listi so namenjeni samostojni uporabi; enolični ID-ji omogočajo povezovanje z vprašalnikom, CRM-jem in AI-agenti.</x:v>
      </x:c>
      <x:c r="B2" s="8"/>
      <x:c r="C2" s="8"/>
    </x:row>
    <x:row r="4" ht="15" hidden="0" customHeight="1">
      <x:c r="A4" s="74" t="str">
        <x:v>List</x:v>
      </x:c>
      <x:c r="B4" s="74" t="str">
        <x:v>Vsebina</x:v>
      </x:c>
      <x:c r="C4" s="74" t="str">
        <x:v>Uporaba</x:v>
      </x:c>
    </x:row>
    <x:row r="5" ht="15" hidden="0" customHeight="1">
      <x:c r="A5" s="82" t="str">
        <x:v>01_Segmenti</x:v>
      </x:c>
      <x:c r="B5" s="82" t="str">
        <x:v>12 poslovnih arhetipov</x:v>
      </x:c>
      <x:c r="C5" s="82" t="str">
        <x:v>Segmentacija in ekonomika</x:v>
      </x:c>
    </x:row>
    <x:row r="6" ht="15" hidden="0" customHeight="1">
      <x:c r="A6" s="85" t="str">
        <x:v>02_Persone</x:v>
      </x:c>
      <x:c r="B6" s="85" t="str">
        <x:v>Nakupni center</x:v>
      </x:c>
      <x:c r="C6" s="85" t="str">
        <x:v>Cilji, bolečine, dokazi in vloge</x:v>
      </x:c>
    </x:row>
    <x:row r="7" ht="15" hidden="0" customHeight="1">
      <x:c r="A7" s="83" t="str">
        <x:v>03_Procesi</x:v>
      </x:c>
      <x:c r="B7" s="83" t="str">
        <x:v>28 end-to-end procesov</x:v>
      </x:c>
      <x:c r="C7" s="83" t="str">
        <x:v>Procesni katalog</x:v>
      </x:c>
    </x:row>
    <x:row r="8" ht="15" hidden="0" customHeight="1">
      <x:c r="A8" s="85" t="str">
        <x:v>04_Bolecine</x:v>
      </x:c>
      <x:c r="B8" s="85" t="str">
        <x:v>56 problemskih vrstic</x:v>
      </x:c>
      <x:c r="C8" s="85" t="str">
        <x:v>Vzrok, učinek in dokaz</x:v>
      </x:c>
    </x:row>
    <x:row r="9" ht="15" hidden="0" customHeight="1">
      <x:c r="A9" s="83" t="str">
        <x:v>05_KPI</x:v>
      </x:c>
      <x:c r="B9" s="83" t="str">
        <x:v>36 metrik</x:v>
      </x:c>
      <x:c r="C9" s="83" t="str">
        <x:v>Definicije, formule, omejitve</x:v>
      </x:c>
    </x:row>
    <x:row r="10" ht="15" hidden="0" customHeight="1">
      <x:c r="A10" s="85" t="str">
        <x:v>06_Benchmarki</x:v>
      </x:c>
      <x:c r="B10" s="85" t="str">
        <x:v>25 preverjenih kazalnikov</x:v>
      </x:c>
      <x:c r="C10" s="85" t="str">
        <x:v>Kontekst, ne cilji</x:v>
      </x:c>
    </x:row>
    <x:row r="11" ht="15" hidden="0" customHeight="1">
      <x:c r="A11" s="83" t="str">
        <x:v>07_Financne_formule</x:v>
      </x:c>
      <x:c r="B11" s="83" t="str">
        <x:v>25 formul</x:v>
      </x:c>
      <x:c r="C11" s="83" t="str">
        <x:v>ROI in finančni prevod</x:v>
      </x:c>
    </x:row>
    <x:row r="12" ht="15" hidden="0" customHeight="1">
      <x:c r="A12" s="85" t="str">
        <x:v>08_Dvojno_stetje</x:v>
      </x:c>
      <x:c r="B12" s="85" t="str">
        <x:v>12 kontrol</x:v>
      </x:c>
      <x:c r="C12" s="85" t="str">
        <x:v>Preprečevanje napihovanja koristi</x:v>
      </x:c>
    </x:row>
    <x:row r="13" ht="15" hidden="0" customHeight="1">
      <x:c r="A13" s="83" t="str">
        <x:v>09_Podatkovni_slovar</x:v>
      </x:c>
      <x:c r="B13" s="83" t="str">
        <x:v>Entitete in dogodki</x:v>
      </x:c>
      <x:c r="C13" s="83" t="str">
        <x:v>Strojno berljiv podatkovni model</x:v>
      </x:c>
    </x:row>
    <x:row r="14" ht="15" hidden="0" customHeight="1">
      <x:c r="A14" s="85" t="str">
        <x:v>10_PANTHEON_fit</x:v>
      </x:c>
      <x:c r="B14" s="85" t="str">
        <x:v>27 zmožnosti</x:v>
      </x:c>
      <x:c r="C14" s="85" t="str">
        <x:v>Neposredno/partner/integracija/specialist</x:v>
      </x:c>
    </x:row>
    <x:row r="15" ht="15" hidden="0" customHeight="1">
      <x:c r="A15" s="83" t="str">
        <x:v>11_Vprasalnik</x:v>
      </x:c>
      <x:c r="B15" s="83" t="str">
        <x:v>66 vprašanj</x:v>
      </x:c>
      <x:c r="C15" s="83" t="str">
        <x:v>Quick, audit in solution</x:v>
      </x:c>
    </x:row>
    <x:row r="16" ht="15" hidden="0" customHeight="1">
      <x:c r="A16" s="85" t="str">
        <x:v>12_Razvejanje</x:v>
      </x:c>
      <x:c r="B16" s="85" t="str">
        <x:v>15 pravil</x:v>
      </x:c>
      <x:c r="C16" s="85" t="str">
        <x:v>Adaptivni tok</x:v>
      </x:c>
    </x:row>
    <x:row r="17" ht="15" hidden="0" customHeight="1">
      <x:c r="A17" s="83" t="str">
        <x:v>13_ICP_score</x:v>
      </x:c>
      <x:c r="B17" s="83" t="str">
        <x:v>11 kriterijev</x:v>
      </x:c>
      <x:c r="C17" s="83" t="str">
        <x:v>100-točkovna kvalifikacija</x:v>
      </x:c>
    </x:row>
    <x:row r="18" ht="15" hidden="0" customHeight="1">
      <x:c r="A18" s="85" t="str">
        <x:v>14_VOC_hipoteze</x:v>
      </x:c>
      <x:c r="B18" s="85" t="str">
        <x:v>12 izjav</x:v>
      </x:c>
      <x:c r="C18" s="85" t="str">
        <x:v>Hipoteze za intervjuje</x:v>
      </x:c>
    </x:row>
    <x:row r="19" ht="15" hidden="0" customHeight="1">
      <x:c r="A19" s="83" t="str">
        <x:v>15_Regulativa</x:v>
      </x:c>
      <x:c r="B19" s="83" t="str">
        <x:v>13 obveznosti</x:v>
      </x:c>
      <x:c r="C19" s="83" t="str">
        <x:v>Roki in podatkovni vpliv</x:v>
      </x:c>
    </x:row>
    <x:row r="20" ht="15" hidden="0" customHeight="1">
      <x:c r="A20" s="85" t="str">
        <x:v>16_Viri</x:v>
      </x:c>
      <x:c r="B20" s="85" t="str">
        <x:v>44 virov</x:v>
      </x:c>
      <x:c r="C20" s="85" t="str">
        <x:v>Dokazni register</x:v>
      </x:c>
    </x:row>
    <x:row r="21" ht="15" hidden="0" customHeight="1">
      <x:c r="A21" s="83" t="str">
        <x:v>17_Raziskovalne_vrzeli</x:v>
      </x:c>
      <x:c r="B21" s="83" t="str">
        <x:v>10 vrzeli</x:v>
      </x:c>
      <x:c r="C21" s="83" t="str">
        <x:v>Načrt nadaljnjega merjenja</x:v>
      </x:c>
    </x:row>
    <x:row r="22" ht="15" hidden="0" customHeight="1">
      <x:c r="A22" s="85" t="str">
        <x:v>18_ROI_model</x:v>
      </x:c>
      <x:c r="B22" s="85" t="str">
        <x:v>P10/P50/P90</x:v>
      </x:c>
      <x:c r="C22" s="85" t="str">
        <x:v>Formulni 3-letni business case</x:v>
      </x:c>
    </x:row>
    <x:row r="23" ht="15" hidden="0" customHeight="1">
      <x:c r="A23" s="84" t="str">
        <x:v>19_Kontrole</x:v>
      </x:c>
      <x:c r="B23" s="84" t="str">
        <x:v>Modelne kontrole</x:v>
      </x:c>
      <x:c r="C23" s="84" t="str">
        <x:v>Sanity checks in QA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51a1e33a0eab4d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4" hidden="0" customWidth="1"/>
    <x:col min="4" max="4" width="30" hidden="0" customWidth="1"/>
    <x:col min="5" max="5" width="42" hidden="0" customWidth="1"/>
    <x:col min="6" max="6" width="20" hidden="0" customWidth="1"/>
    <x:col min="7" max="7" width="18" hidden="0" customWidth="1"/>
  </x:cols>
  <x:sheetData>
    <x:row r="1" ht="34" customHeight="1">
      <x:c r="A1" s="4" t="str">
        <x:v>Segmentna taksonomija</x:v>
      </x:c>
      <x:c r="B1" s="4"/>
      <x:c r="C1" s="4"/>
      <x:c r="D1" s="4"/>
      <x:c r="E1" s="4"/>
      <x:c r="F1" s="4"/>
      <x:c r="G1" s="4"/>
    </x:row>
    <x:row r="2" ht="31" customHeight="1">
      <x:c r="A2" s="8" t="str">
        <x:v>Poslovni model je močnejši napovednik ekonomike kot sama SKD koda.</x:v>
      </x:c>
      <x:c r="B2" s="8"/>
      <x:c r="C2" s="8"/>
      <x:c r="D2" s="8"/>
      <x:c r="E2" s="8"/>
      <x:c r="F2" s="8"/>
      <x:c r="G2" s="8"/>
    </x:row>
    <x:row r="4" ht="15" hidden="0" customHeight="1">
      <x:c r="A4" s="74" t="str">
        <x:v>ID</x:v>
      </x:c>
      <x:c r="B4" s="74" t="str">
        <x:v>Arhetip</x:v>
      </x:c>
      <x:c r="C4" s="74" t="str">
        <x:v>Opis</x:v>
      </x:c>
      <x:c r="D4" s="74" t="str">
        <x:v>Ekonomska enota</x:v>
      </x:c>
      <x:c r="E4" s="74" t="str">
        <x:v>Ključna ekonomika</x:v>
      </x:c>
      <x:c r="F4" s="74" t="str">
        <x:v>SKD približek</x:v>
      </x:c>
      <x:c r="G4" s="74" t="str">
        <x:v>Prioriteta</x:v>
      </x:c>
    </x:row>
    <x:row r="5" ht="15" hidden="0" customHeight="1">
      <x:c r="A5" s="82" t="str">
        <x:v>SEG-01</x:v>
      </x:c>
      <x:c r="B5" s="82" t="str">
        <x:v>Cestni prevoznik - FTL</x:v>
      </x:c>
      <x:c r="C5" s="82" t="str">
        <x:v>Lastna/najeta flota; polni tovori</x:v>
      </x:c>
      <x:c r="D5" s="82" t="str">
        <x:v>km, vozilo-dan, voznik-ura</x:v>
      </x:c>
      <x:c r="E5" s="82" t="str">
        <x:v>strošek/km, prazni km, čekanje, POD-latenca</x:v>
      </x:c>
      <x:c r="F5" s="82" t="str">
        <x:v>H49</x:v>
      </x:c>
      <x:c r="G5" s="82" t="str">
        <x:v>visok</x:v>
      </x:c>
    </x:row>
    <x:row r="6" ht="15" hidden="0" customHeight="1">
      <x:c r="A6" s="85" t="str">
        <x:v>SEG-02</x:v>
      </x:c>
      <x:c r="B6" s="85" t="str">
        <x:v>Cestni prevoznik - LTL/groupage</x:v>
      </x:c>
      <x:c r="C6" s="85" t="str">
        <x:v>Konsolidacija več pošiljk</x:v>
      </x:c>
      <x:c r="D6" s="85" t="str">
        <x:v>pošiljka, paletno mesto, terminalski dotik</x:v>
      </x:c>
      <x:c r="E6" s="85" t="str">
        <x:v>polnost, pretovori, napake, mrežni strošek</x:v>
      </x:c>
      <x:c r="F6" s="85" t="str">
        <x:v>H49/H52</x:v>
      </x:c>
      <x:c r="G6" s="85" t="str">
        <x:v>visok</x:v>
      </x:c>
    </x:row>
    <x:row r="7" ht="15" hidden="0" customHeight="1">
      <x:c r="A7" s="83" t="str">
        <x:v>SEG-03</x:v>
      </x:c>
      <x:c r="B7" s="83" t="str">
        <x:v>Špediter/forwarder</x:v>
      </x:c>
      <x:c r="C7" s="83" t="str">
        <x:v>Organizira in kupuje prevoz</x:v>
      </x:c>
      <x:c r="D7" s="83" t="str">
        <x:v>pošiljka, relacija, prevoznik</x:v>
      </x:c>
      <x:c r="E7" s="83" t="str">
        <x:v>bruto marža, spot premija, obračunska odstopanja</x:v>
      </x:c>
      <x:c r="F7" s="83" t="str">
        <x:v>H52</x:v>
      </x:c>
      <x:c r="G7" s="83" t="str">
        <x:v>visok</x:v>
      </x:c>
    </x:row>
    <x:row r="8" ht="15" hidden="0" customHeight="1">
      <x:c r="A8" s="85" t="str">
        <x:v>SEG-04</x:v>
      </x:c>
      <x:c r="B8" s="85" t="str">
        <x:v>3PL skladišče</x:v>
      </x:c>
      <x:c r="C8" s="85" t="str">
        <x:v>Skladišči in obdeluje tuje blago</x:v>
      </x:c>
      <x:c r="D8" s="85" t="str">
        <x:v>paleta-dan, vrstica, kos, manipulacija</x:v>
      </x:c>
      <x:c r="E8" s="85" t="str">
        <x:v>produktivnost, SLA, zasedenost, zajem prihodka</x:v>
      </x:c>
      <x:c r="F8" s="85" t="str">
        <x:v>H52</x:v>
      </x:c>
      <x:c r="G8" s="85" t="str">
        <x:v>visok</x:v>
      </x:c>
    </x:row>
    <x:row r="9" ht="15" hidden="0" customHeight="1">
      <x:c r="A9" s="83" t="str">
        <x:v>SEG-05</x:v>
      </x:c>
      <x:c r="B9" s="83" t="str">
        <x:v>Fulfillment/e-commerce</x:v>
      </x:c>
      <x:c r="C9" s="83" t="str">
        <x:v>Pick-pack-ship in vračila</x:v>
      </x:c>
      <x:c r="D9" s="83" t="str">
        <x:v>naročilo, vrstica, paket, vračilo</x:v>
      </x:c>
      <x:c r="E9" s="83" t="str">
        <x:v>cost/order, hitrost, napaka, sezonskost</x:v>
      </x:c>
      <x:c r="F9" s="83" t="str">
        <x:v>H52/H53</x:v>
      </x:c>
      <x:c r="G9" s="83" t="str">
        <x:v>visok</x:v>
      </x:c>
    </x:row>
    <x:row r="10" ht="15" hidden="0" customHeight="1">
      <x:c r="A10" s="85" t="str">
        <x:v>SEG-06</x:v>
      </x:c>
      <x:c r="B10" s="85" t="str">
        <x:v>Distributer z lastno logistiko</x:v>
      </x:c>
      <x:c r="C10" s="85" t="str">
        <x:v>Lastna zaloga in dostava</x:v>
      </x:c>
      <x:c r="D10" s="85" t="str">
        <x:v>SKU, naročilo, dostava, EUR zaloge</x:v>
      </x:c>
      <x:c r="E10" s="85" t="str">
        <x:v>marža, dnevi zaloge, OTIF, nujni prevozi</x:v>
      </x:c>
      <x:c r="F10" s="85" t="str">
        <x:v>G46/G47 + H</x:v>
      </x:c>
      <x:c r="G10" s="85" t="str">
        <x:v>visok</x:v>
      </x:c>
    </x:row>
    <x:row r="11" ht="15" hidden="0" customHeight="1">
      <x:c r="A11" s="83" t="str">
        <x:v>SEG-07</x:v>
      </x:c>
      <x:c r="B11" s="83" t="str">
        <x:v>Kurir/last mile</x:v>
      </x:c>
      <x:c r="C11" s="83" t="str">
        <x:v>Veliko postankov in paketov</x:v>
      </x:c>
      <x:c r="D11" s="83" t="str">
        <x:v>postanek, paket, pot</x:v>
      </x:c>
      <x:c r="E11" s="83" t="str">
        <x:v>prvi uspešni poskus, gostota, čas/postanek</x:v>
      </x:c>
      <x:c r="F11" s="83" t="str">
        <x:v>H53</x:v>
      </x:c>
      <x:c r="G11" s="83" t="str">
        <x:v>srednji</x:v>
      </x:c>
    </x:row>
    <x:row r="12" ht="15" hidden="0" customHeight="1">
      <x:c r="A12" s="85" t="str">
        <x:v>SEG-08</x:v>
      </x:c>
      <x:c r="B12" s="85" t="str">
        <x:v>Pomorski/intermodalni organizator</x:v>
      </x:c>
      <x:c r="C12" s="85" t="str">
        <x:v>Kontejnerji in menjave načina</x:v>
      </x:c>
      <x:c r="D12" s="85" t="str">
        <x:v>TEU, kontejner-dan, terminalski dogodek</x:v>
      </x:c>
      <x:c r="E12" s="85" t="str">
        <x:v>demurrage/detention, ETA, dokumenti</x:v>
      </x:c>
      <x:c r="F12" s="85" t="str">
        <x:v>H50/H52</x:v>
      </x:c>
      <x:c r="G12" s="85" t="str">
        <x:v>srednji</x:v>
      </x:c>
    </x:row>
    <x:row r="13" ht="15" hidden="0" customHeight="1">
      <x:c r="A13" s="83" t="str">
        <x:v>SEG-09</x:v>
      </x:c>
      <x:c r="B13" s="83" t="str">
        <x:v>Železniški/intermodalni operater</x:v>
      </x:c>
      <x:c r="C13" s="83" t="str">
        <x:v>Vlaki, vagoni, terminali</x:v>
      </x:c>
      <x:c r="D13" s="83" t="str">
        <x:v>vagon, vlak, tkm, terminalski premik</x:v>
      </x:c>
      <x:c r="E13" s="83" t="str">
        <x:v>rotacija, terminalska čakanja, sledljivost</x:v>
      </x:c>
      <x:c r="F13" s="83" t="str">
        <x:v>H49/H52</x:v>
      </x:c>
      <x:c r="G13" s="83" t="str">
        <x:v>srednji</x:v>
      </x:c>
    </x:row>
    <x:row r="14" ht="15" hidden="0" customHeight="1">
      <x:c r="A14" s="85" t="str">
        <x:v>SEG-10</x:v>
      </x:c>
      <x:c r="B14" s="85" t="str">
        <x:v>Carinski posrednik</x:v>
      </x:c>
      <x:c r="C14" s="85" t="str">
        <x:v>Deklaracije in dokazila</x:v>
      </x:c>
      <x:c r="D14" s="85" t="str">
        <x:v>deklaracija, postavka, popravek</x:v>
      </x:c>
      <x:c r="E14" s="85" t="str">
        <x:v>čas, napake, zadržanja, globe</x:v>
      </x:c>
      <x:c r="F14" s="85" t="str">
        <x:v>H52/profesionalne storitve</x:v>
      </x:c>
      <x:c r="G14" s="85" t="str">
        <x:v>srednji</x:v>
      </x:c>
    </x:row>
    <x:row r="15" ht="15" hidden="0" customHeight="1">
      <x:c r="A15" s="83" t="str">
        <x:v>SEG-11</x:v>
      </x:c>
      <x:c r="B15" s="83" t="str">
        <x:v>Hladna veriga/farma</x:v>
      </x:c>
      <x:c r="C15" s="83" t="str">
        <x:v>Temperaturno nadzorovana izvedba</x:v>
      </x:c>
      <x:c r="D15" s="83" t="str">
        <x:v>pošiljka, temperaturni zapis, odstopanje</x:v>
      </x:c>
      <x:c r="E15" s="83" t="str">
        <x:v>integriteta, odstopanja, dokazljivost</x:v>
      </x:c>
      <x:c r="F15" s="83" t="str">
        <x:v>več SKD</x:v>
      </x:c>
      <x:c r="G15" s="83" t="str">
        <x:v>visok specialni</x:v>
      </x:c>
    </x:row>
    <x:row r="16" ht="15" hidden="0" customHeight="1">
      <x:c r="A16" s="86" t="str">
        <x:v>SEG-12</x:v>
      </x:c>
      <x:c r="B16" s="86" t="str">
        <x:v>ADR/izredni/oversize prevoz</x:v>
      </x:c>
      <x:c r="C16" s="86" t="str">
        <x:v>Posebna dovoljenja in tveganja</x:v>
      </x:c>
      <x:c r="D16" s="86" t="str">
        <x:v>pošiljka, dovoljenje, spremstvo</x:v>
      </x:c>
      <x:c r="E16" s="86" t="str">
        <x:v>skladnost, čakanje, incidenti</x:v>
      </x:c>
      <x:c r="F16" s="86" t="str">
        <x:v>H49/H52</x:v>
      </x:c>
      <x:c r="G16" s="86" t="str">
        <x:v>specialni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646e83d40b24d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6" hidden="0" customWidth="1"/>
    <x:col min="4" max="4" width="36" hidden="0" customWidth="1"/>
    <x:col min="5" max="5" width="36" hidden="0" customWidth="1"/>
    <x:col min="6" max="6" width="24" hidden="0" customWidth="1"/>
  </x:cols>
  <x:sheetData>
    <x:row r="1" ht="34" customHeight="1">
      <x:c r="A1" s="4" t="str">
        <x:v>Persone in nakupni center</x:v>
      </x:c>
      <x:c r="B1" s="4"/>
      <x:c r="C1" s="4"/>
      <x:c r="D1" s="4"/>
      <x:c r="E1" s="4"/>
      <x:c r="F1" s="4"/>
    </x:row>
    <x:row r="2" ht="31" customHeight="1">
      <x:c r="A2" s="8" t="str">
        <x:v>Business case potrebuje ekonomskega kupca, procesnega lastnika, tehničnega vratarja in lastnika podatkov.</x:v>
      </x:c>
      <x:c r="B2" s="8"/>
      <x:c r="C2" s="8"/>
      <x:c r="D2" s="8"/>
      <x:c r="E2" s="8"/>
      <x:c r="F2" s="8"/>
    </x:row>
    <x:row r="4" ht="15" hidden="0" customHeight="1">
      <x:c r="A4" s="74" t="str">
        <x:v>ID</x:v>
      </x:c>
      <x:c r="B4" s="74" t="str">
        <x:v>Persona</x:v>
      </x:c>
      <x:c r="C4" s="74" t="str">
        <x:v>Cilji</x:v>
      </x:c>
      <x:c r="D4" s="74" t="str">
        <x:v>Bolečine</x:v>
      </x:c>
      <x:c r="E4" s="74" t="str">
        <x:v>Dokazi</x:v>
      </x:c>
      <x:c r="F4" s="74" t="str">
        <x:v>Vloga</x:v>
      </x:c>
    </x:row>
    <x:row r="5" ht="15" hidden="0" customHeight="1">
      <x:c r="A5" s="82" t="str">
        <x:v>PER-01</x:v>
      </x:c>
      <x:c r="B5" s="82" t="str">
        <x:v>Lastnik/direktor</x:v>
      </x:c>
      <x:c r="C5" s="82" t="str">
        <x:v>EBITDA, denarni tok, rast brez kaosa</x:v>
      </x:c>
      <x:c r="D5" s="82" t="str">
        <x:v>Nezanesljivi podatki; odvisnost od ljudi</x:v>
      </x:c>
      <x:c r="E5" s="82" t="str">
        <x:v>ROI, vračilna doba, tveganje uvedbe</x:v>
      </x:c>
      <x:c r="F5" s="82" t="str">
        <x:v>Odobri investicijo</x:v>
      </x:c>
    </x:row>
    <x:row r="6" ht="15" hidden="0" customHeight="1">
      <x:c r="A6" s="85" t="str">
        <x:v>PER-02</x:v>
      </x:c>
      <x:c r="B6" s="85" t="str">
        <x:v>Finančni direktor</x:v>
      </x:c>
      <x:c r="C6" s="85" t="str">
        <x:v>Marža po poslu/stranki; DSO; kontrole</x:v>
      </x:c>
      <x:c r="D6" s="85" t="str">
        <x:v>Pozno fakturiranje; ročna uskladitev</x:v>
      </x:c>
      <x:c r="E6" s="85" t="str">
        <x:v>Revizijska sled, scenariji, NPV</x:v>
      </x:c>
      <x:c r="F6" s="85" t="str">
        <x:v>Ekonomski kupec</x:v>
      </x:c>
    </x:row>
    <x:row r="7" ht="15" hidden="0" customHeight="1">
      <x:c r="A7" s="83" t="str">
        <x:v>PER-03</x:v>
      </x:c>
      <x:c r="B7" s="83" t="str">
        <x:v>Vodja transporta</x:v>
      </x:c>
      <x:c r="C7" s="83" t="str">
        <x:v>Izkoriščenost, OTIF, stabilen plan</x:v>
      </x:c>
      <x:c r="D7" s="83" t="str">
        <x:v>Prazni km; čakanje; prekinitve</x:v>
      </x:c>
      <x:c r="E7" s="83" t="str">
        <x:v>Operativni KPI, izjeme, real-time podatki</x:v>
      </x:c>
      <x:c r="F7" s="83" t="str">
        <x:v>Procesni lastnik</x:v>
      </x:c>
    </x:row>
    <x:row r="8" ht="15" hidden="0" customHeight="1">
      <x:c r="A8" s="85" t="str">
        <x:v>PER-04</x:v>
      </x:c>
      <x:c r="B8" s="85" t="str">
        <x:v>Disponent</x:v>
      </x:c>
      <x:c r="C8" s="85" t="str">
        <x:v>Več nalogov brez nadur</x:v>
      </x:c>
      <x:c r="D8" s="85" t="str">
        <x:v>Prepisovanje, telefoni, portali</x:v>
      </x:c>
      <x:c r="E8" s="85" t="str">
        <x:v>Enoten delovni tok; avtomatski statusi</x:v>
      </x:c>
      <x:c r="F8" s="85" t="str">
        <x:v>Ključni uporabnik</x:v>
      </x:c>
    </x:row>
    <x:row r="9" ht="15" hidden="0" customHeight="1">
      <x:c r="A9" s="83" t="str">
        <x:v>PER-05</x:v>
      </x:c>
      <x:c r="B9" s="83" t="str">
        <x:v>Vodja skladišča</x:v>
      </x:c>
      <x:c r="C9" s="83" t="str">
        <x:v>Pretok, točnost, varnost</x:v>
      </x:c>
      <x:c r="D9" s="83" t="str">
        <x:v>Iskanje, napačne lokacije, konice</x:v>
      </x:c>
      <x:c r="E9" s="83" t="str">
        <x:v>Mobilno delo, tasking, sledljivost</x:v>
      </x:c>
      <x:c r="F9" s="83" t="str">
        <x:v>Procesni lastnik</x:v>
      </x:c>
    </x:row>
    <x:row r="10" ht="15" hidden="0" customHeight="1">
      <x:c r="A10" s="85" t="str">
        <x:v>PER-06</x:v>
      </x:c>
      <x:c r="B10" s="85" t="str">
        <x:v>Skladiščnik/komisionar</x:v>
      </x:c>
      <x:c r="C10" s="85" t="str">
        <x:v>Jasna naslednja naloga</x:v>
      </x:c>
      <x:c r="D10" s="85" t="str">
        <x:v>Papir, dvoumne lokacije, ponovitve</x:v>
      </x:c>
      <x:c r="E10" s="85" t="str">
        <x:v>Enostaven mobilni vmesnik</x:v>
      </x:c>
      <x:c r="F10" s="85" t="str">
        <x:v>Ključni uporabnik</x:v>
      </x:c>
    </x:row>
    <x:row r="11" ht="15" hidden="0" customHeight="1">
      <x:c r="A11" s="83" t="str">
        <x:v>PER-07</x:v>
      </x:c>
      <x:c r="B11" s="83" t="str">
        <x:v>Customer service</x:v>
      </x:c>
      <x:c r="C11" s="83" t="str">
        <x:v>Proaktivni status in manj reklamacij</x:v>
      </x:c>
      <x:c r="D11" s="83" t="str">
        <x:v>WISMO klici; ročno sledenje</x:v>
      </x:c>
      <x:c r="E11" s="83" t="str">
        <x:v>Dogodki, ETA, portal, obvestila</x:v>
      </x:c>
      <x:c r="F11" s="83" t="str">
        <x:v>Vplivnež</x:v>
      </x:c>
    </x:row>
    <x:row r="12" ht="15" hidden="0" customHeight="1">
      <x:c r="A12" s="85" t="str">
        <x:v>PER-08</x:v>
      </x:c>
      <x:c r="B12" s="85" t="str">
        <x:v>Računovodstvo/obračun</x:v>
      </x:c>
      <x:c r="C12" s="85" t="str">
        <x:v>Pravilna, hitra faktura</x:v>
      </x:c>
      <x:c r="D12" s="85" t="str">
        <x:v>Manjkajoč POD; doplačila; razlike</x:v>
      </x:c>
      <x:c r="E12" s="85" t="str">
        <x:v>Povezava izvedba-račun; kontrole</x:v>
      </x:c>
      <x:c r="F12" s="85" t="str">
        <x:v>Ključni uporabnik</x:v>
      </x:c>
    </x:row>
    <x:row r="13" ht="15" hidden="0" customHeight="1">
      <x:c r="A13" s="83" t="str">
        <x:v>PER-09</x:v>
      </x:c>
      <x:c r="B13" s="83" t="str">
        <x:v>IT/vodja digitalizacije</x:v>
      </x:c>
      <x:c r="C13" s="83" t="str">
        <x:v>Varnost, integrabilnost, podpora</x:v>
      </x:c>
      <x:c r="D13" s="83" t="str">
        <x:v>Točkovne integracije in tehnični dolg</x:v>
      </x:c>
      <x:c r="E13" s="83" t="str">
        <x:v>API, lastništvo podatkov, SLA</x:v>
      </x:c>
      <x:c r="F13" s="83" t="str">
        <x:v>Tehnični vratar</x:v>
      </x:c>
    </x:row>
    <x:row r="14" ht="15" hidden="0" customHeight="1">
      <x:c r="A14" s="85" t="str">
        <x:v>PER-10</x:v>
      </x:c>
      <x:c r="B14" s="85" t="str">
        <x:v>Voznik</x:v>
      </x:c>
      <x:c r="C14" s="85" t="str">
        <x:v>Minimalna administracija, jasen plan</x:v>
      </x:c>
      <x:c r="D14" s="85" t="str">
        <x:v>Podvajanje vnosa; nedelujoče aplikacije</x:v>
      </x:c>
      <x:c r="E14" s="85" t="str">
        <x:v>Mobilni tok, offline, ePOD</x:v>
      </x:c>
      <x:c r="F14" s="85" t="str">
        <x:v>Končni uporabnik</x:v>
      </x:c>
    </x:row>
    <x:row r="15" ht="15" hidden="0" customHeight="1">
      <x:c r="A15" s="84" t="str">
        <x:v>PER-11</x:v>
      </x:c>
      <x:c r="B15" s="84" t="str">
        <x:v>Skladnost/kakovost</x:v>
      </x:c>
      <x:c r="C15" s="84" t="str">
        <x:v>Dokazljivost in obvladovanje incidentov</x:v>
      </x:c>
      <x:c r="D15" s="84" t="str">
        <x:v>Razpršena dokazila; roki</x:v>
      </x:c>
      <x:c r="E15" s="84" t="str">
        <x:v>Kontrole, audit trail, alerti</x:v>
      </x:c>
      <x:c r="F15" s="84" t="str">
        <x:v>Vratar tveganj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b33cf7a483043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7" hidden="0" customWidth="1"/>
    <x:col min="3" max="3" width="18" hidden="0" customWidth="1"/>
    <x:col min="4" max="4" width="32" hidden="0" customWidth="1"/>
    <x:col min="5" max="5" width="34" hidden="0" customWidth="1"/>
    <x:col min="6" max="6" width="28" hidden="0" customWidth="1"/>
    <x:col min="7" max="7" width="34" hidden="0" customWidth="1"/>
    <x:col min="8" max="8" width="40" hidden="0" customWidth="1"/>
  </x:cols>
  <x:sheetData>
    <x:row r="1" ht="34" customHeight="1">
      <x:c r="A1" s="4" t="str">
        <x:v>28 procesov</x:v>
      </x:c>
      <x:c r="B1" s="4"/>
      <x:c r="C1" s="4"/>
      <x:c r="D1" s="4"/>
      <x:c r="E1" s="4"/>
      <x:c r="F1" s="4"/>
      <x:c r="G1" s="4"/>
      <x:c r="H1" s="4"/>
    </x:row>
    <x:row r="2" ht="31" customHeight="1">
      <x:c r="A2" s="8" t="str">
        <x:v>Za vsak proces določite lastnika, dogodek, kontrolno točko, KPI in finančni prevod.</x:v>
      </x:c>
      <x:c r="B2" s="8"/>
      <x:c r="C2" s="8"/>
      <x:c r="D2" s="8"/>
      <x:c r="E2" s="8"/>
      <x:c r="F2" s="8"/>
      <x:c r="G2" s="8"/>
      <x:c r="H2" s="8"/>
    </x:row>
    <x:row r="4" ht="15" hidden="0" customHeight="1">
      <x:c r="A4" s="74" t="str">
        <x:v>ID</x:v>
      </x:c>
      <x:c r="B4" s="74" t="str">
        <x:v>Proces</x:v>
      </x:c>
      <x:c r="C4" s="74" t="str">
        <x:v>Lastnik</x:v>
      </x:c>
      <x:c r="D4" s="74" t="str">
        <x:v>Tok</x:v>
      </x:c>
      <x:c r="E4" s="74" t="str">
        <x:v>Vhodi</x:v>
      </x:c>
      <x:c r="F4" s="74" t="str">
        <x:v>Izhod</x:v>
      </x:c>
      <x:c r="G4" s="74" t="str">
        <x:v>KPI</x:v>
      </x:c>
      <x:c r="H4" s="74" t="str">
        <x:v>Tipične odpovedi</x:v>
      </x:c>
    </x:row>
    <x:row r="5" ht="15" hidden="0" customHeight="1">
      <x:c r="A5" s="82" t="str">
        <x:v>PROC-01</x:v>
      </x:c>
      <x:c r="B5" s="82" t="str">
        <x:v>Lead-to-quote</x:v>
      </x:c>
      <x:c r="C5" s="82" t="str">
        <x:v>prodaja</x:v>
      </x:c>
      <x:c r="D5" s="82" t="str">
        <x:v>Povpraševanje -&gt; ponudba</x:v>
      </x:c>
      <x:c r="E5" s="82" t="str">
        <x:v>povpraševanje; ceniki; kapaciteta</x:v>
      </x:c>
      <x:c r="F5" s="82" t="str">
        <x:v>odobrena ponudba</x:v>
      </x:c>
      <x:c r="G5" s="82" t="str">
        <x:v>čas ponudbe; win rate; marža ponudbe</x:v>
      </x:c>
      <x:c r="H5" s="82" t="str">
        <x:v>zastarela cena; brez cost-to-serve</x:v>
      </x:c>
    </x:row>
    <x:row r="6" ht="15" hidden="0" customHeight="1">
      <x:c r="A6" s="85" t="str">
        <x:v>PROC-02</x:v>
      </x:c>
      <x:c r="B6" s="85" t="str">
        <x:v>Order capture</x:v>
      </x:c>
      <x:c r="C6" s="85" t="str">
        <x:v>komerciala</x:v>
      </x:c>
      <x:c r="D6" s="85" t="str">
        <x:v>Naročilo -&gt; potrjen nalog</x:v>
      </x:c>
      <x:c r="E6" s="85" t="str">
        <x:v>e-pošta; EDI; portal; dokument</x:v>
      </x:c>
      <x:c r="F6" s="85" t="str">
        <x:v>strukturiran nalog</x:v>
      </x:c>
      <x:c r="G6" s="85" t="str">
        <x:v>% avtomatskih nalogov; čas vnosa</x:v>
      </x:c>
      <x:c r="H6" s="85" t="str">
        <x:v>prepisovanje; manjkajoči podatki</x:v>
      </x:c>
    </x:row>
    <x:row r="7" ht="15" hidden="0" customHeight="1">
      <x:c r="A7" s="83" t="str">
        <x:v>PROC-03</x:v>
      </x:c>
      <x:c r="B7" s="83" t="str">
        <x:v>Capacity planning</x:v>
      </x:c>
      <x:c r="C7" s="83" t="str">
        <x:v>transport</x:v>
      </x:c>
      <x:c r="D7" s="83" t="str">
        <x:v>Napoved -&gt; plan kapacitete</x:v>
      </x:c>
      <x:c r="E7" s="83" t="str">
        <x:v>naročila; flota; vozniki; omejitve</x:v>
      </x:c>
      <x:c r="F7" s="83" t="str">
        <x:v>kapacitetni plan</x:v>
      </x:c>
      <x:c r="G7" s="83" t="str">
        <x:v>pokritost; zavrnitve; spot delež</x:v>
      </x:c>
      <x:c r="H7" s="83" t="str">
        <x:v>nepopoln pogled; silo planiranje</x:v>
      </x:c>
    </x:row>
    <x:row r="8" ht="15" hidden="0" customHeight="1">
      <x:c r="A8" s="85" t="str">
        <x:v>PROC-04</x:v>
      </x:c>
      <x:c r="B8" s="85" t="str">
        <x:v>Load and route planning</x:v>
      </x:c>
      <x:c r="C8" s="85" t="str">
        <x:v>transport</x:v>
      </x:c>
      <x:c r="D8" s="85" t="str">
        <x:v>Nalogi -&gt; ture</x:v>
      </x:c>
      <x:c r="E8" s="85" t="str">
        <x:v>lokacije; časovna okna; vozila</x:v>
      </x:c>
      <x:c r="F8" s="85" t="str">
        <x:v>izvedljiv plan tur</x:v>
      </x:c>
      <x:c r="G8" s="85" t="str">
        <x:v>prazni km; polnost; plan km</x:v>
      </x:c>
      <x:c r="H8" s="85" t="str">
        <x:v>ročno optimiranje; pozne spremembe</x:v>
      </x:c>
    </x:row>
    <x:row r="9" ht="15" hidden="0" customHeight="1">
      <x:c r="A9" s="83" t="str">
        <x:v>PROC-05</x:v>
      </x:c>
      <x:c r="B9" s="83" t="str">
        <x:v>Dispatch</x:v>
      </x:c>
      <x:c r="C9" s="83" t="str">
        <x:v>transport</x:v>
      </x:c>
      <x:c r="D9" s="83" t="str">
        <x:v>Plan -&gt; izvršilni nalog</x:v>
      </x:c>
      <x:c r="E9" s="83" t="str">
        <x:v>ture; voznik; vozilo</x:v>
      </x:c>
      <x:c r="F9" s="83" t="str">
        <x:v>dodelitev in navodila</x:v>
      </x:c>
      <x:c r="G9" s="83" t="str">
        <x:v>nalogi/disponent; spremembe</x:v>
      </x:c>
      <x:c r="H9" s="83" t="str">
        <x:v>telefon/SMS; ni verzioniranja</x:v>
      </x:c>
    </x:row>
    <x:row r="10" ht="15" hidden="0" customHeight="1">
      <x:c r="A10" s="85" t="str">
        <x:v>PROC-06</x:v>
      </x:c>
      <x:c r="B10" s="85" t="str">
        <x:v>Subcarrier procurement</x:v>
      </x:c>
      <x:c r="C10" s="85" t="str">
        <x:v>špedicija</x:v>
      </x:c>
      <x:c r="D10" s="85" t="str">
        <x:v>Potreba -&gt; kupljen prevoz</x:v>
      </x:c>
      <x:c r="E10" s="85" t="str">
        <x:v>relacija; SLA; prevozniki</x:v>
      </x:c>
      <x:c r="F10" s="85" t="str">
        <x:v>potrjena nabava</x:v>
      </x:c>
      <x:c r="G10" s="85" t="str">
        <x:v>nabavna cena; čas; spot premija</x:v>
      </x:c>
      <x:c r="H10" s="85" t="str">
        <x:v>nepregledna zgodovina; ročna pogajanja</x:v>
      </x:c>
    </x:row>
    <x:row r="11" ht="15" hidden="0" customHeight="1">
      <x:c r="A11" s="83" t="str">
        <x:v>PROC-07</x:v>
      </x:c>
      <x:c r="B11" s="83" t="str">
        <x:v>Pickup and loading</x:v>
      </x:c>
      <x:c r="C11" s="83" t="str">
        <x:v>izvedba</x:v>
      </x:c>
      <x:c r="D11" s="83" t="str">
        <x:v>Prihod -&gt; odhod z naklada</x:v>
      </x:c>
      <x:c r="E11" s="83" t="str">
        <x:v>slot; blago; dokumenti</x:v>
      </x:c>
      <x:c r="F11" s="83" t="str">
        <x:v>naloženo vozilo</x:v>
      </x:c>
      <x:c r="G11" s="83" t="str">
        <x:v>čakanje; pravočasni prevzemi</x:v>
      </x:c>
      <x:c r="H11" s="83" t="str">
        <x:v>brez slot podatkov; nepripravljeno blago</x:v>
      </x:c>
    </x:row>
    <x:row r="12" ht="15" hidden="0" customHeight="1">
      <x:c r="A12" s="85" t="str">
        <x:v>PROC-08</x:v>
      </x:c>
      <x:c r="B12" s="85" t="str">
        <x:v>In-transit control</x:v>
      </x:c>
      <x:c r="C12" s="85" t="str">
        <x:v>izvedba</x:v>
      </x:c>
      <x:c r="D12" s="85" t="str">
        <x:v>Odhod -&gt; prihod</x:v>
      </x:c>
      <x:c r="E12" s="85" t="str">
        <x:v>GPS; dogodki; ETA; izjeme</x:v>
      </x:c>
      <x:c r="F12" s="85" t="str">
        <x:v>status in ukrep</x:v>
      </x:c>
      <x:c r="G12" s="85" t="str">
        <x:v>ETA natančnost; izjeme; WISMO</x:v>
      </x:c>
      <x:c r="H12" s="85" t="str">
        <x:v>status po telefonu; prepozna eskalacija</x:v>
      </x:c>
    </x:row>
    <x:row r="13" ht="15" hidden="0" customHeight="1">
      <x:c r="A13" s="83" t="str">
        <x:v>PROC-09</x:v>
      </x:c>
      <x:c r="B13" s="83" t="str">
        <x:v>Delivery and ePOD</x:v>
      </x:c>
      <x:c r="C13" s="83" t="str">
        <x:v>izvedba</x:v>
      </x:c>
      <x:c r="D13" s="83" t="str">
        <x:v>Prihod -&gt; dokazilo</x:v>
      </x:c>
      <x:c r="E13" s="83" t="str">
        <x:v>nalog; prejemnik; dokazila</x:v>
      </x:c>
      <x:c r="F13" s="83" t="str">
        <x:v>POD/CMR; incident</x:v>
      </x:c>
      <x:c r="G13" s="83" t="str">
        <x:v>POD latenca; first-attempt; OTIF</x:v>
      </x:c>
      <x:c r="H13" s="83" t="str">
        <x:v>papir; nečitljivo; zamujena vrnitev</x:v>
      </x:c>
    </x:row>
    <x:row r="14" ht="15" hidden="0" customHeight="1">
      <x:c r="A14" s="85" t="str">
        <x:v>PROC-10</x:v>
      </x:c>
      <x:c r="B14" s="85" t="str">
        <x:v>Freight audit</x:v>
      </x:c>
      <x:c r="C14" s="85" t="str">
        <x:v>finance</x:v>
      </x:c>
      <x:c r="D14" s="85" t="str">
        <x:v>Izvedba -&gt; potrjen strošek</x:v>
      </x:c>
      <x:c r="E14" s="85" t="str">
        <x:v>pogodba; dejanski dogodki; račun</x:v>
      </x:c>
      <x:c r="F14" s="85" t="str">
        <x:v>odobren strošek</x:v>
      </x:c>
      <x:c r="G14" s="85" t="str">
        <x:v>odstopanje; čas potrditve</x:v>
      </x:c>
      <x:c r="H14" s="85" t="str">
        <x:v>ročna primerjava; manjkajoči dogodki</x:v>
      </x:c>
    </x:row>
    <x:row r="15" ht="15" hidden="0" customHeight="1">
      <x:c r="A15" s="83" t="str">
        <x:v>PROC-11</x:v>
      </x:c>
      <x:c r="B15" s="83" t="str">
        <x:v>Transport billing</x:v>
      </x:c>
      <x:c r="C15" s="83" t="str">
        <x:v>finance</x:v>
      </x:c>
      <x:c r="D15" s="83" t="str">
        <x:v>POD -&gt; račun kupcu</x:v>
      </x:c>
      <x:c r="E15" s="83" t="str">
        <x:v>tarifa; dodatki; POD</x:v>
      </x:c>
      <x:c r="F15" s="83" t="str">
        <x:v>izdan pravilen račun</x:v>
      </x:c>
      <x:c r="G15" s="83" t="str">
        <x:v>POD-to-invoice; leakage; dobropisi</x:v>
      </x:c>
      <x:c r="H15" s="83" t="str">
        <x:v>neobračunani dodatki; pozna faktura</x:v>
      </x:c>
    </x:row>
    <x:row r="16" ht="15" hidden="0" customHeight="1">
      <x:c r="A16" s="85" t="str">
        <x:v>PROC-12</x:v>
      </x:c>
      <x:c r="B16" s="85" t="str">
        <x:v>Receivables and claims</x:v>
      </x:c>
      <x:c r="C16" s="85" t="str">
        <x:v>finance</x:v>
      </x:c>
      <x:c r="D16" s="85" t="str">
        <x:v>Račun -&gt; denar/regres</x:v>
      </x:c>
      <x:c r="E16" s="85" t="str">
        <x:v>račun; spor; dokazila</x:v>
      </x:c>
      <x:c r="F16" s="85" t="str">
        <x:v>plačilo ali rešen spor</x:v>
      </x:c>
      <x:c r="G16" s="85" t="str">
        <x:v>DSO; spori; izterjava</x:v>
      </x:c>
      <x:c r="H16" s="85" t="str">
        <x:v>razpršena dokazila; počasna reklamacija</x:v>
      </x:c>
    </x:row>
    <x:row r="17" ht="15" hidden="0" customHeight="1">
      <x:c r="A17" s="83" t="str">
        <x:v>PROC-13</x:v>
      </x:c>
      <x:c r="B17" s="83" t="str">
        <x:v>Inbound appointment</x:v>
      </x:c>
      <x:c r="C17" s="83" t="str">
        <x:v>skladišče</x:v>
      </x:c>
      <x:c r="D17" s="83" t="str">
        <x:v>Najava -&gt; rampa</x:v>
      </x:c>
      <x:c r="E17" s="83" t="str">
        <x:v>ASN; sloti; kapaciteta</x:v>
      </x:c>
      <x:c r="F17" s="83" t="str">
        <x:v>rezerviran slot</x:v>
      </x:c>
      <x:c r="G17" s="83" t="str">
        <x:v>čakanje; adherence</x:v>
      </x:c>
      <x:c r="H17" s="83" t="str">
        <x:v>Excel sloti; neznani prihodi</x:v>
      </x:c>
    </x:row>
    <x:row r="18" ht="15" hidden="0" customHeight="1">
      <x:c r="A18" s="85" t="str">
        <x:v>PROC-14</x:v>
      </x:c>
      <x:c r="B18" s="85" t="str">
        <x:v>Receiving and QC</x:v>
      </x:c>
      <x:c r="C18" s="85" t="str">
        <x:v>skladišče</x:v>
      </x:c>
      <x:c r="D18" s="85" t="str">
        <x:v>Razklad -&gt; potrjen prevzem</x:v>
      </x:c>
      <x:c r="E18" s="85" t="str">
        <x:v>ASN; blago; etikete</x:v>
      </x:c>
      <x:c r="F18" s="85" t="str">
        <x:v>prejeto in odstopanja</x:v>
      </x:c>
      <x:c r="G18" s="85" t="str">
        <x:v>dock-to-stock; napake</x:v>
      </x:c>
      <x:c r="H18" s="85" t="str">
        <x:v>papir; dvojni vnos; slepi prevzem</x:v>
      </x:c>
    </x:row>
    <x:row r="19" ht="15" hidden="0" customHeight="1">
      <x:c r="A19" s="83" t="str">
        <x:v>PROC-15</x:v>
      </x:c>
      <x:c r="B19" s="83" t="str">
        <x:v>Put-away</x:v>
      </x:c>
      <x:c r="C19" s="83" t="str">
        <x:v>skladišče</x:v>
      </x:c>
      <x:c r="D19" s="83" t="str">
        <x:v>Prevzem -&gt; lokacija</x:v>
      </x:c>
      <x:c r="E19" s="83" t="str">
        <x:v>artikel; lokacije; pravila</x:v>
      </x:c>
      <x:c r="F19" s="83" t="str">
        <x:v>uskladiščeno blago</x:v>
      </x:c>
      <x:c r="G19" s="83" t="str">
        <x:v>čas; pot; lokacijska točnost</x:v>
      </x:c>
      <x:c r="H19" s="83" t="str">
        <x:v>prosta izbira; slaba slotting pravila</x:v>
      </x:c>
    </x:row>
    <x:row r="20" ht="15" hidden="0" customHeight="1">
      <x:c r="A20" s="85" t="str">
        <x:v>PROC-16</x:v>
      </x:c>
      <x:c r="B20" s="85" t="str">
        <x:v>Replenishment</x:v>
      </x:c>
      <x:c r="C20" s="85" t="str">
        <x:v>skladišče</x:v>
      </x:c>
      <x:c r="D20" s="85" t="str">
        <x:v>Potreba -&gt; dopolnjena pick lokacija</x:v>
      </x:c>
      <x:c r="E20" s="85" t="str">
        <x:v>min/max; nalogi; zaloga</x:v>
      </x:c>
      <x:c r="F20" s="85" t="str">
        <x:v>dopolnjena lokacija</x:v>
      </x:c>
      <x:c r="G20" s="85" t="str">
        <x:v>stockout pick lokacij; urgence</x:v>
      </x:c>
      <x:c r="H20" s="85" t="str">
        <x:v>reaktivno; brez nalogov</x:v>
      </x:c>
    </x:row>
    <x:row r="21" ht="15" hidden="0" customHeight="1">
      <x:c r="A21" s="83" t="str">
        <x:v>PROC-17</x:v>
      </x:c>
      <x:c r="B21" s="83" t="str">
        <x:v>Picking</x:v>
      </x:c>
      <x:c r="C21" s="83" t="str">
        <x:v>skladišče</x:v>
      </x:c>
      <x:c r="D21" s="83" t="str">
        <x:v>Nalog -&gt; zbrani artikli</x:v>
      </x:c>
      <x:c r="E21" s="83" t="str">
        <x:v>valovi; lokacije; oprema</x:v>
      </x:c>
      <x:c r="F21" s="83" t="str">
        <x:v>zbrano naročilo</x:v>
      </x:c>
      <x:c r="G21" s="83" t="str">
        <x:v>vrstice/uro; napake; pot</x:v>
      </x:c>
      <x:c r="H21" s="83" t="str">
        <x:v>papir; napačno zaporedje; congestion</x:v>
      </x:c>
    </x:row>
    <x:row r="22" ht="15" hidden="0" customHeight="1">
      <x:c r="A22" s="85" t="str">
        <x:v>PROC-18</x:v>
      </x:c>
      <x:c r="B22" s="85" t="str">
        <x:v>Packing and staging</x:v>
      </x:c>
      <x:c r="C22" s="85" t="str">
        <x:v>skladišče</x:v>
      </x:c>
      <x:c r="D22" s="85" t="str">
        <x:v>Zbrano -&gt; pripravljeno za odpremo</x:v>
      </x:c>
      <x:c r="E22" s="85" t="str">
        <x:v>artikli; embalaža; prevoznik</x:v>
      </x:c>
      <x:c r="F22" s="85" t="str">
        <x:v>paket/paleta in etiketa</x:v>
      </x:c>
      <x:c r="G22" s="85" t="str">
        <x:v>čas; material; napake</x:v>
      </x:c>
      <x:c r="H22" s="85" t="str">
        <x:v>ročne etikete; napačna konsolidacija</x:v>
      </x:c>
    </x:row>
    <x:row r="23" ht="15" hidden="0" customHeight="1">
      <x:c r="A23" s="83" t="str">
        <x:v>PROC-19</x:v>
      </x:c>
      <x:c r="B23" s="83" t="str">
        <x:v>Shipping</x:v>
      </x:c>
      <x:c r="C23" s="83" t="str">
        <x:v>skladišče</x:v>
      </x:c>
      <x:c r="D23" s="83" t="str">
        <x:v>Staging -&gt; odhod</x:v>
      </x:c>
      <x:c r="E23" s="83" t="str">
        <x:v>ture; vrata; dokazila</x:v>
      </x:c>
      <x:c r="F23" s="83" t="str">
        <x:v>odpremljeno</x:v>
      </x:c>
      <x:c r="G23" s="83" t="str">
        <x:v>cut-off adherence; napačna odprema</x:v>
      </x:c>
      <x:c r="H23" s="83" t="str">
        <x:v>brez scan kontrole; pozne spremembe</x:v>
      </x:c>
    </x:row>
    <x:row r="24" ht="15" hidden="0" customHeight="1">
      <x:c r="A24" s="85" t="str">
        <x:v>PROC-20</x:v>
      </x:c>
      <x:c r="B24" s="85" t="str">
        <x:v>Inventory control</x:v>
      </x:c>
      <x:c r="C24" s="85" t="str">
        <x:v>skladišče</x:v>
      </x:c>
      <x:c r="D24" s="85" t="str">
        <x:v>Dogodek -&gt; pravilna zaloga</x:v>
      </x:c>
      <x:c r="E24" s="85" t="str">
        <x:v>premiki; štetje; lot/serija</x:v>
      </x:c>
      <x:c r="F24" s="85" t="str">
        <x:v>usklajena zaloga</x:v>
      </x:c>
      <x:c r="G24" s="85" t="str">
        <x:v>točnost; prilagoditve; stalež</x:v>
      </x:c>
      <x:c r="H24" s="85" t="str">
        <x:v>zamujeno knjiženje; negativna zaloga</x:v>
      </x:c>
    </x:row>
    <x:row r="25" ht="15" hidden="0" customHeight="1">
      <x:c r="A25" s="83" t="str">
        <x:v>PROC-21</x:v>
      </x:c>
      <x:c r="B25" s="83" t="str">
        <x:v>Returns</x:v>
      </x:c>
      <x:c r="C25" s="83" t="str">
        <x:v>skladišče</x:v>
      </x:c>
      <x:c r="D25" s="83" t="str">
        <x:v>Vračilo -&gt; odločitev/refund</x:v>
      </x:c>
      <x:c r="E25" s="83" t="str">
        <x:v>RMA; razlog; stanje</x:v>
      </x:c>
      <x:c r="F25" s="83" t="str">
        <x:v>ponovna zaloga/popravilo/odpis</x:v>
      </x:c>
      <x:c r="G25" s="83" t="str">
        <x:v>čas vračila; recovery rate</x:v>
      </x:c>
      <x:c r="H25" s="83" t="str">
        <x:v>nejasni razlogi; ločen sistem</x:v>
      </x:c>
    </x:row>
    <x:row r="26" ht="15" hidden="0" customHeight="1">
      <x:c r="A26" s="85" t="str">
        <x:v>PROC-22</x:v>
      </x:c>
      <x:c r="B26" s="85" t="str">
        <x:v>3PL service billing</x:v>
      </x:c>
      <x:c r="C26" s="85" t="str">
        <x:v>3PL finance</x:v>
      </x:c>
      <x:c r="D26" s="85" t="str">
        <x:v>Dogodki -&gt; obračun storitev</x:v>
      </x:c>
      <x:c r="E26" s="85" t="str">
        <x:v>paleta-dan; dotiki; pogodba</x:v>
      </x:c>
      <x:c r="F26" s="85" t="str">
        <x:v>račun storitev</x:v>
      </x:c>
      <x:c r="G26" s="85" t="str">
        <x:v>capture rate; spori; čas</x:v>
      </x:c>
      <x:c r="H26" s="85" t="str">
        <x:v>ročne evidence; neobračunani dogodki</x:v>
      </x:c>
    </x:row>
    <x:row r="27" ht="15" hidden="0" customHeight="1">
      <x:c r="A27" s="83" t="str">
        <x:v>PROC-23</x:v>
      </x:c>
      <x:c r="B27" s="83" t="str">
        <x:v>Fleet maintenance</x:v>
      </x:c>
      <x:c r="C27" s="83" t="str">
        <x:v>flota</x:v>
      </x:c>
      <x:c r="D27" s="83" t="str">
        <x:v>Signal -&gt; delovno vozilo</x:v>
      </x:c>
      <x:c r="E27" s="83" t="str">
        <x:v>km; okvare; servisni plan</x:v>
      </x:c>
      <x:c r="F27" s="83" t="str">
        <x:v>razpoložljivo vozilo</x:v>
      </x:c>
      <x:c r="G27" s="83" t="str">
        <x:v>uptime; cost/km; MTBF</x:v>
      </x:c>
      <x:c r="H27" s="83" t="str">
        <x:v>reaktivno vzdrževanje; razpršeni podatki</x:v>
      </x:c>
    </x:row>
    <x:row r="28" ht="15" hidden="0" customHeight="1">
      <x:c r="A28" s="85" t="str">
        <x:v>PROC-24</x:v>
      </x:c>
      <x:c r="B28" s="85" t="str">
        <x:v>Fuel and toll control</x:v>
      </x:c>
      <x:c r="C28" s="85" t="str">
        <x:v>flota/finance</x:v>
      </x:c>
      <x:c r="D28" s="85" t="str">
        <x:v>Transakcija -&gt; potrjen strošek</x:v>
      </x:c>
      <x:c r="E28" s="85" t="str">
        <x:v>kartice; GPS; km; cestnine</x:v>
      </x:c>
      <x:c r="F28" s="85" t="str">
        <x:v>usklajen strošek</x:v>
      </x:c>
      <x:c r="G28" s="85" t="str">
        <x:v>l/100km; anomalije; strošek/km</x:v>
      </x:c>
      <x:c r="H28" s="85" t="str">
        <x:v>ročna uskladitev; zlorabe; brez normativov</x:v>
      </x:c>
    </x:row>
    <x:row r="29" ht="15" hidden="0" customHeight="1">
      <x:c r="A29" s="83" t="str">
        <x:v>PROC-25</x:v>
      </x:c>
      <x:c r="B29" s="83" t="str">
        <x:v>Driver and workforce</x:v>
      </x:c>
      <x:c r="C29" s="83" t="str">
        <x:v>HR/transport</x:v>
      </x:c>
      <x:c r="D29" s="83" t="str">
        <x:v>Potreba -&gt; razpoložljiva ekipa</x:v>
      </x:c>
      <x:c r="E29" s="83" t="str">
        <x:v>urniki; tahograf; kompetence</x:v>
      </x:c>
      <x:c r="F29" s="83" t="str">
        <x:v>skladen razpored</x:v>
      </x:c>
      <x:c r="G29" s="83" t="str">
        <x:v>nadure; odsotnost; kršitve</x:v>
      </x:c>
      <x:c r="H29" s="83" t="str">
        <x:v>silo HR/transport; ročni seznami</x:v>
      </x:c>
    </x:row>
    <x:row r="30" ht="15" hidden="0" customHeight="1">
      <x:c r="A30" s="85" t="str">
        <x:v>PROC-26</x:v>
      </x:c>
      <x:c r="B30" s="85" t="str">
        <x:v>Compliance and documents</x:v>
      </x:c>
      <x:c r="C30" s="85" t="str">
        <x:v>skladnost</x:v>
      </x:c>
      <x:c r="D30" s="85" t="str">
        <x:v>Obveznost -&gt; dokazilo</x:v>
      </x:c>
      <x:c r="E30" s="85" t="str">
        <x:v>ADR; carina; licence; temperature</x:v>
      </x:c>
      <x:c r="F30" s="85" t="str">
        <x:v>veljavno dokazilo</x:v>
      </x:c>
      <x:c r="G30" s="85" t="str">
        <x:v>kršitve; potekla dokazila; audit čas</x:v>
      </x:c>
      <x:c r="H30" s="85" t="str">
        <x:v>Excel roki; različne mape</x:v>
      </x:c>
    </x:row>
    <x:row r="31" ht="15" hidden="0" customHeight="1">
      <x:c r="A31" s="83" t="str">
        <x:v>PROC-27</x:v>
      </x:c>
      <x:c r="B31" s="83" t="str">
        <x:v>Management reporting</x:v>
      </x:c>
      <x:c r="C31" s="83" t="str">
        <x:v>vodstvo</x:v>
      </x:c>
      <x:c r="D31" s="83" t="str">
        <x:v>Dogodki -&gt; odločitev</x:v>
      </x:c>
      <x:c r="E31" s="83" t="str">
        <x:v>ERP; TMS; WMS; telematika</x:v>
      </x:c>
      <x:c r="F31" s="83" t="str">
        <x:v>KPI in akcija</x:v>
      </x:c>
      <x:c r="G31" s="83" t="str">
        <x:v>čas poročila; data latency; reconciliation</x:v>
      </x:c>
      <x:c r="H31" s="83" t="str">
        <x:v>Excel konsolidacija; različne definicije</x:v>
      </x:c>
    </x:row>
    <x:row r="32" ht="15" hidden="0" customHeight="1">
      <x:c r="A32" s="86" t="str">
        <x:v>PROC-28</x:v>
      </x:c>
      <x:c r="B32" s="86" t="str">
        <x:v>Master data and integration</x:v>
      </x:c>
      <x:c r="C32" s="86" t="str">
        <x:v>IT</x:v>
      </x:c>
      <x:c r="D32" s="86" t="str">
        <x:v>Sprememba -&gt; usklajeni sistemi</x:v>
      </x:c>
      <x:c r="E32" s="86" t="str">
        <x:v>partner; artikel; lokacija; tarife</x:v>
      </x:c>
      <x:c r="F32" s="86" t="str">
        <x:v>kakovostni podatki in dogodki</x:v>
      </x:c>
      <x:c r="G32" s="86" t="str">
        <x:v>napake vmesnikov; duplikati; SLA</x:v>
      </x:c>
      <x:c r="H32" s="86" t="str">
        <x:v>brez lastništva; point-to-point integracije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9dbfc8d81c941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6" hidden="0" customWidth="1"/>
    <x:col min="4" max="4" width="38" hidden="0" customWidth="1"/>
    <x:col min="5" max="5" width="42" hidden="0" customWidth="1"/>
    <x:col min="6" max="6" width="20" hidden="0" customWidth="1"/>
    <x:col min="7" max="7" width="26" hidden="0" customWidth="1"/>
    <x:col min="8" max="8" width="18" hidden="0" customWidth="1"/>
  </x:cols>
  <x:sheetData>
    <x:row r="1" ht="34" customHeight="1">
      <x:c r="A1" s="4" t="str">
        <x:v>Katalog bolečin</x:v>
      </x:c>
      <x:c r="B1" s="4"/>
      <x:c r="C1" s="4"/>
      <x:c r="D1" s="4"/>
      <x:c r="E1" s="4"/>
      <x:c r="F1" s="4"/>
      <x:c r="G1" s="4"/>
      <x:c r="H1" s="4"/>
    </x:row>
    <x:row r="2" ht="31" customHeight="1">
      <x:c r="A2" s="8" t="str">
        <x:v>Pain statement je modelirljiv šele z imenovalcem, obdobjem, virom in lastnikom.</x:v>
      </x:c>
      <x:c r="B2" s="8"/>
      <x:c r="C2" s="8"/>
      <x:c r="D2" s="8"/>
      <x:c r="E2" s="8"/>
      <x:c r="F2" s="8"/>
      <x:c r="G2" s="8"/>
      <x:c r="H2" s="8"/>
    </x:row>
    <x:row r="4" ht="15" hidden="0" customHeight="1">
      <x:c r="A4" s="74" t="str">
        <x:v>ID</x:v>
      </x:c>
      <x:c r="B4" s="74" t="str">
        <x:v>Proces ID</x:v>
      </x:c>
      <x:c r="C4" s="74" t="str">
        <x:v>Proces</x:v>
      </x:c>
      <x:c r="D4" s="74" t="str">
        <x:v>Bolečina</x:v>
      </x:c>
      <x:c r="E4" s="74" t="str">
        <x:v>Posledica</x:v>
      </x:c>
      <x:c r="F4" s="74" t="str">
        <x:v>Kategorija</x:v>
      </x:c>
      <x:c r="G4" s="74" t="str">
        <x:v>Dokaz</x:v>
      </x:c>
      <x:c r="H4" s="74" t="str">
        <x:v>Razred</x:v>
      </x:c>
    </x:row>
    <x:row r="5" ht="15" hidden="0" customHeight="1">
      <x:c r="A5" s="82" t="str">
        <x:v>PAIN-001</x:v>
      </x:c>
      <x:c r="B5" s="82" t="str">
        <x:v>PROC-01</x:v>
      </x:c>
      <x:c r="C5" s="82" t="str">
        <x:v>Lead-to-quote</x:v>
      </x:c>
      <x:c r="D5" s="82" t="str">
        <x:v>Počasno oblikovanje ponudbe</x:v>
      </x:c>
      <x:c r="E5" s="82" t="str">
        <x:v>izgubljena odzivnost in preveč administracije</x:v>
      </x:c>
      <x:c r="F5" s="82" t="str">
        <x:v>čas/kapaciteta</x:v>
      </x:c>
      <x:c r="G5" s="82" t="str">
        <x:v>intervju + podatki</x:v>
      </x:c>
      <x:c r="H5" s="82" t="str">
        <x:v>expert synthesis</x:v>
      </x:c>
    </x:row>
    <x:row r="6" ht="15" hidden="0" customHeight="1">
      <x:c r="A6" s="85" t="str">
        <x:v>PAIN-002</x:v>
      </x:c>
      <x:c r="B6" s="85" t="str">
        <x:v>PROC-01</x:v>
      </x:c>
      <x:c r="C6" s="85" t="str">
        <x:v>Lead-to-quote</x:v>
      </x:c>
      <x:c r="D6" s="85" t="str">
        <x:v>Cena brez preverjene lastne cene</x:v>
      </x:c>
      <x:c r="E6" s="85" t="str">
        <x:v>negativna marža ali zavrnitev dobrega posla</x:v>
      </x:c>
      <x:c r="F6" s="85" t="str">
        <x:v>marža</x:v>
      </x:c>
      <x:c r="G6" s="85" t="str">
        <x:v>intervju + podatki</x:v>
      </x:c>
      <x:c r="H6" s="85" t="str">
        <x:v>expert synthesis</x:v>
      </x:c>
    </x:row>
    <x:row r="7" ht="15" hidden="0" customHeight="1">
      <x:c r="A7" s="83" t="str">
        <x:v>PAIN-003</x:v>
      </x:c>
      <x:c r="B7" s="83" t="str">
        <x:v>PROC-02</x:v>
      </x:c>
      <x:c r="C7" s="83" t="str">
        <x:v>Order capture</x:v>
      </x:c>
      <x:c r="D7" s="83" t="str">
        <x:v>Ročno prepisovanje naročil</x:v>
      </x:c>
      <x:c r="E7" s="83" t="str">
        <x:v>ure, napake in pozna potrditev</x:v>
      </x:c>
      <x:c r="F7" s="83" t="str">
        <x:v>čas/kakovost</x:v>
      </x:c>
      <x:c r="G7" s="83" t="str">
        <x:v>intervju + podatki</x:v>
      </x:c>
      <x:c r="H7" s="83" t="str">
        <x:v>expert synthesis</x:v>
      </x:c>
    </x:row>
    <x:row r="8" ht="15" hidden="0" customHeight="1">
      <x:c r="A8" s="85" t="str">
        <x:v>PAIN-004</x:v>
      </x:c>
      <x:c r="B8" s="85" t="str">
        <x:v>PROC-02</x:v>
      </x:c>
      <x:c r="C8" s="85" t="str">
        <x:v>Order capture</x:v>
      </x:c>
      <x:c r="D8" s="85" t="str">
        <x:v>Manjkajoči podatki ob potrditvi</x:v>
      </x:c>
      <x:c r="E8" s="85" t="str">
        <x:v>poznejše prekinitve in kontakti</x:v>
      </x:c>
      <x:c r="F8" s="85" t="str">
        <x:v>čas/SLA</x:v>
      </x:c>
      <x:c r="G8" s="85" t="str">
        <x:v>intervju + podatki</x:v>
      </x:c>
      <x:c r="H8" s="85" t="str">
        <x:v>expert synthesis</x:v>
      </x:c>
    </x:row>
    <x:row r="9" ht="15" hidden="0" customHeight="1">
      <x:c r="A9" s="83" t="str">
        <x:v>PAIN-005</x:v>
      </x:c>
      <x:c r="B9" s="83" t="str">
        <x:v>PROC-03</x:v>
      </x:c>
      <x:c r="C9" s="83" t="str">
        <x:v>Capacity planning</x:v>
      </x:c>
      <x:c r="D9" s="83" t="str">
        <x:v>Planiranje v preglednicah in telefonih</x:v>
      </x:c>
      <x:c r="E9" s="83" t="str">
        <x:v>prazni km, nadure in krhek plan</x:v>
      </x:c>
      <x:c r="F9" s="83" t="str">
        <x:v>strošek/kapaciteta</x:v>
      </x:c>
      <x:c r="G9" s="83" t="str">
        <x:v>intervju + podatki</x:v>
      </x:c>
      <x:c r="H9" s="83" t="str">
        <x:v>expert synthesis</x:v>
      </x:c>
    </x:row>
    <x:row r="10" ht="15" hidden="0" customHeight="1">
      <x:c r="A10" s="85" t="str">
        <x:v>PAIN-006</x:v>
      </x:c>
      <x:c r="B10" s="85" t="str">
        <x:v>PROC-03</x:v>
      </x:c>
      <x:c r="C10" s="85" t="str">
        <x:v>Capacity planning</x:v>
      </x:c>
      <x:c r="D10" s="85" t="str">
        <x:v>Pozne spremembe brez sistemske sledi</x:v>
      </x:c>
      <x:c r="E10" s="85" t="str">
        <x:v>dvojno delo in napačna navodila</x:v>
      </x:c>
      <x:c r="F10" s="85" t="str">
        <x:v>čas/SLA</x:v>
      </x:c>
      <x:c r="G10" s="85" t="str">
        <x:v>intervju + podatki</x:v>
      </x:c>
      <x:c r="H10" s="85" t="str">
        <x:v>expert synthesis</x:v>
      </x:c>
    </x:row>
    <x:row r="11" ht="15" hidden="0" customHeight="1">
      <x:c r="A11" s="83" t="str">
        <x:v>PAIN-007</x:v>
      </x:c>
      <x:c r="B11" s="83" t="str">
        <x:v>PROC-04</x:v>
      </x:c>
      <x:c r="C11" s="83" t="str">
        <x:v>Load and route planning</x:v>
      </x:c>
      <x:c r="D11" s="83" t="str">
        <x:v>Planiranje v preglednicah in telefonih</x:v>
      </x:c>
      <x:c r="E11" s="83" t="str">
        <x:v>prazni km, nadure in krhek plan</x:v>
      </x:c>
      <x:c r="F11" s="83" t="str">
        <x:v>strošek/kapaciteta</x:v>
      </x:c>
      <x:c r="G11" s="83" t="str">
        <x:v>intervju + podatki</x:v>
      </x:c>
      <x:c r="H11" s="83" t="str">
        <x:v>expert synthesis</x:v>
      </x:c>
    </x:row>
    <x:row r="12" ht="15" hidden="0" customHeight="1">
      <x:c r="A12" s="85" t="str">
        <x:v>PAIN-008</x:v>
      </x:c>
      <x:c r="B12" s="85" t="str">
        <x:v>PROC-04</x:v>
      </x:c>
      <x:c r="C12" s="85" t="str">
        <x:v>Load and route planning</x:v>
      </x:c>
      <x:c r="D12" s="85" t="str">
        <x:v>Pozne spremembe brez sistemske sledi</x:v>
      </x:c>
      <x:c r="E12" s="85" t="str">
        <x:v>dvojno delo in napačna navodila</x:v>
      </x:c>
      <x:c r="F12" s="85" t="str">
        <x:v>čas/SLA</x:v>
      </x:c>
      <x:c r="G12" s="85" t="str">
        <x:v>intervju + podatki</x:v>
      </x:c>
      <x:c r="H12" s="85" t="str">
        <x:v>expert synthesis</x:v>
      </x:c>
    </x:row>
    <x:row r="13" ht="15" hidden="0" customHeight="1">
      <x:c r="A13" s="83" t="str">
        <x:v>PAIN-009</x:v>
      </x:c>
      <x:c r="B13" s="83" t="str">
        <x:v>PROC-05</x:v>
      </x:c>
      <x:c r="C13" s="83" t="str">
        <x:v>Dispatch</x:v>
      </x:c>
      <x:c r="D13" s="83" t="str">
        <x:v>Planiranje v preglednicah in telefonih</x:v>
      </x:c>
      <x:c r="E13" s="83" t="str">
        <x:v>prazni km, nadure in krhek plan</x:v>
      </x:c>
      <x:c r="F13" s="83" t="str">
        <x:v>strošek/kapaciteta</x:v>
      </x:c>
      <x:c r="G13" s="83" t="str">
        <x:v>intervju + podatki</x:v>
      </x:c>
      <x:c r="H13" s="83" t="str">
        <x:v>expert synthesis</x:v>
      </x:c>
    </x:row>
    <x:row r="14" ht="15" hidden="0" customHeight="1">
      <x:c r="A14" s="85" t="str">
        <x:v>PAIN-010</x:v>
      </x:c>
      <x:c r="B14" s="85" t="str">
        <x:v>PROC-05</x:v>
      </x:c>
      <x:c r="C14" s="85" t="str">
        <x:v>Dispatch</x:v>
      </x:c>
      <x:c r="D14" s="85" t="str">
        <x:v>Pozne spremembe brez sistemske sledi</x:v>
      </x:c>
      <x:c r="E14" s="85" t="str">
        <x:v>dvojno delo in napačna navodila</x:v>
      </x:c>
      <x:c r="F14" s="85" t="str">
        <x:v>čas/SLA</x:v>
      </x:c>
      <x:c r="G14" s="85" t="str">
        <x:v>intervju + podatki</x:v>
      </x:c>
      <x:c r="H14" s="85" t="str">
        <x:v>expert synthesis</x:v>
      </x:c>
    </x:row>
    <x:row r="15" ht="15" hidden="0" customHeight="1">
      <x:c r="A15" s="83" t="str">
        <x:v>PAIN-011</x:v>
      </x:c>
      <x:c r="B15" s="83" t="str">
        <x:v>PROC-06</x:v>
      </x:c>
      <x:c r="C15" s="83" t="str">
        <x:v>Subcarrier procurement</x:v>
      </x:c>
      <x:c r="D15" s="83" t="str">
        <x:v>Nabava prevoznika brez zgodovinske analitike</x:v>
      </x:c>
      <x:c r="E15" s="83" t="str">
        <x:v>spot premije in nižja marža</x:v>
      </x:c>
      <x:c r="F15" s="83" t="str">
        <x:v>marža</x:v>
      </x:c>
      <x:c r="G15" s="83" t="str">
        <x:v>intervju + podatki</x:v>
      </x:c>
      <x:c r="H15" s="83" t="str">
        <x:v>expert synthesis</x:v>
      </x:c>
    </x:row>
    <x:row r="16" ht="15" hidden="0" customHeight="1">
      <x:c r="A16" s="85" t="str">
        <x:v>PAIN-012</x:v>
      </x:c>
      <x:c r="B16" s="85" t="str">
        <x:v>PROC-06</x:v>
      </x:c>
      <x:c r="C16" s="85" t="str">
        <x:v>Subcarrier procurement</x:v>
      </x:c>
      <x:c r="D16" s="85" t="str">
        <x:v>Neskladje med prodajno in nabavno tarifo</x:v>
      </x:c>
      <x:c r="E16" s="85" t="str">
        <x:v>leakage in spori</x:v>
      </x:c>
      <x:c r="F16" s="85" t="str">
        <x:v>prihodek</x:v>
      </x:c>
      <x:c r="G16" s="85" t="str">
        <x:v>intervju + podatki</x:v>
      </x:c>
      <x:c r="H16" s="85" t="str">
        <x:v>expert synthesis</x:v>
      </x:c>
    </x:row>
    <x:row r="17" ht="15" hidden="0" customHeight="1">
      <x:c r="A17" s="83" t="str">
        <x:v>PAIN-013</x:v>
      </x:c>
      <x:c r="B17" s="83" t="str">
        <x:v>PROC-07</x:v>
      </x:c>
      <x:c r="C17" s="83" t="str">
        <x:v>Pickup and loading</x:v>
      </x:c>
      <x:c r="D17" s="83" t="str">
        <x:v>Status se pridobiva po telefonu</x:v>
      </x:c>
      <x:c r="E17" s="83" t="str">
        <x:v>čas disponenta in slab customer service</x:v>
      </x:c>
      <x:c r="F17" s="83" t="str">
        <x:v>čas/SLA</x:v>
      </x:c>
      <x:c r="G17" s="83" t="str">
        <x:v>intervju + podatki</x:v>
      </x:c>
      <x:c r="H17" s="83" t="str">
        <x:v>expert synthesis</x:v>
      </x:c>
    </x:row>
    <x:row r="18" ht="15" hidden="0" customHeight="1">
      <x:c r="A18" s="85" t="str">
        <x:v>PAIN-014</x:v>
      </x:c>
      <x:c r="B18" s="85" t="str">
        <x:v>PROC-07</x:v>
      </x:c>
      <x:c r="C18" s="85" t="str">
        <x:v>Pickup and loading</x:v>
      </x:c>
      <x:c r="D18" s="85" t="str">
        <x:v>POD se vrača z zamikom</x:v>
      </x:c>
      <x:c r="E18" s="85" t="str">
        <x:v>pozno fakturiranje in DSO</x:v>
      </x:c>
      <x:c r="F18" s="85" t="str">
        <x:v>denarni tok</x:v>
      </x:c>
      <x:c r="G18" s="85" t="str">
        <x:v>intervju + podatki</x:v>
      </x:c>
      <x:c r="H18" s="85" t="str">
        <x:v>expert synthesis</x:v>
      </x:c>
    </x:row>
    <x:row r="19" ht="15" hidden="0" customHeight="1">
      <x:c r="A19" s="83" t="str">
        <x:v>PAIN-015</x:v>
      </x:c>
      <x:c r="B19" s="83" t="str">
        <x:v>PROC-08</x:v>
      </x:c>
      <x:c r="C19" s="83" t="str">
        <x:v>In-transit control</x:v>
      </x:c>
      <x:c r="D19" s="83" t="str">
        <x:v>Status se pridobiva po telefonu</x:v>
      </x:c>
      <x:c r="E19" s="83" t="str">
        <x:v>čas disponenta in slab customer service</x:v>
      </x:c>
      <x:c r="F19" s="83" t="str">
        <x:v>čas/SLA</x:v>
      </x:c>
      <x:c r="G19" s="83" t="str">
        <x:v>intervju + podatki</x:v>
      </x:c>
      <x:c r="H19" s="83" t="str">
        <x:v>expert synthesis</x:v>
      </x:c>
    </x:row>
    <x:row r="20" ht="15" hidden="0" customHeight="1">
      <x:c r="A20" s="85" t="str">
        <x:v>PAIN-016</x:v>
      </x:c>
      <x:c r="B20" s="85" t="str">
        <x:v>PROC-08</x:v>
      </x:c>
      <x:c r="C20" s="85" t="str">
        <x:v>In-transit control</x:v>
      </x:c>
      <x:c r="D20" s="85" t="str">
        <x:v>POD se vrača z zamikom</x:v>
      </x:c>
      <x:c r="E20" s="85" t="str">
        <x:v>pozno fakturiranje in DSO</x:v>
      </x:c>
      <x:c r="F20" s="85" t="str">
        <x:v>denarni tok</x:v>
      </x:c>
      <x:c r="G20" s="85" t="str">
        <x:v>intervju + podatki</x:v>
      </x:c>
      <x:c r="H20" s="85" t="str">
        <x:v>expert synthesis</x:v>
      </x:c>
    </x:row>
    <x:row r="21" ht="15" hidden="0" customHeight="1">
      <x:c r="A21" s="83" t="str">
        <x:v>PAIN-017</x:v>
      </x:c>
      <x:c r="B21" s="83" t="str">
        <x:v>PROC-09</x:v>
      </x:c>
      <x:c r="C21" s="83" t="str">
        <x:v>Delivery and ePOD</x:v>
      </x:c>
      <x:c r="D21" s="83" t="str">
        <x:v>Status se pridobiva po telefonu</x:v>
      </x:c>
      <x:c r="E21" s="83" t="str">
        <x:v>čas disponenta in slab customer service</x:v>
      </x:c>
      <x:c r="F21" s="83" t="str">
        <x:v>čas/SLA</x:v>
      </x:c>
      <x:c r="G21" s="83" t="str">
        <x:v>intervju + podatki</x:v>
      </x:c>
      <x:c r="H21" s="83" t="str">
        <x:v>expert synthesis</x:v>
      </x:c>
    </x:row>
    <x:row r="22" ht="15" hidden="0" customHeight="1">
      <x:c r="A22" s="85" t="str">
        <x:v>PAIN-018</x:v>
      </x:c>
      <x:c r="B22" s="85" t="str">
        <x:v>PROC-09</x:v>
      </x:c>
      <x:c r="C22" s="85" t="str">
        <x:v>Delivery and ePOD</x:v>
      </x:c>
      <x:c r="D22" s="85" t="str">
        <x:v>POD se vrača z zamikom</x:v>
      </x:c>
      <x:c r="E22" s="85" t="str">
        <x:v>pozno fakturiranje in DSO</x:v>
      </x:c>
      <x:c r="F22" s="85" t="str">
        <x:v>denarni tok</x:v>
      </x:c>
      <x:c r="G22" s="85" t="str">
        <x:v>intervju + podatki</x:v>
      </x:c>
      <x:c r="H22" s="85" t="str">
        <x:v>expert synthesis</x:v>
      </x:c>
    </x:row>
    <x:row r="23" ht="15" hidden="0" customHeight="1">
      <x:c r="A23" s="83" t="str">
        <x:v>PAIN-019</x:v>
      </x:c>
      <x:c r="B23" s="83" t="str">
        <x:v>PROC-10</x:v>
      </x:c>
      <x:c r="C23" s="83" t="str">
        <x:v>Freight audit</x:v>
      </x:c>
      <x:c r="D23" s="83" t="str">
        <x:v>Ročna uskladitev dogodkov, cenikov in računov</x:v>
      </x:c>
      <x:c r="E23" s="83" t="str">
        <x:v>visok čas ter napake</x:v>
      </x:c>
      <x:c r="F23" s="83" t="str">
        <x:v>čas/kakovost</x:v>
      </x:c>
      <x:c r="G23" s="83" t="str">
        <x:v>intervju + podatki</x:v>
      </x:c>
      <x:c r="H23" s="83" t="str">
        <x:v>expert synthesis</x:v>
      </x:c>
    </x:row>
    <x:row r="24" ht="15" hidden="0" customHeight="1">
      <x:c r="A24" s="85" t="str">
        <x:v>PAIN-020</x:v>
      </x:c>
      <x:c r="B24" s="85" t="str">
        <x:v>PROC-10</x:v>
      </x:c>
      <x:c r="C24" s="85" t="str">
        <x:v>Freight audit</x:v>
      </x:c>
      <x:c r="D24" s="85" t="str">
        <x:v>Neobračunani dodatki in čakanja</x:v>
      </x:c>
      <x:c r="E24" s="85" t="str">
        <x:v>neposredno uhajanje prihodka</x:v>
      </x:c>
      <x:c r="F24" s="85" t="str">
        <x:v>prihodek</x:v>
      </x:c>
      <x:c r="G24" s="85" t="str">
        <x:v>intervju + podatki</x:v>
      </x:c>
      <x:c r="H24" s="85" t="str">
        <x:v>expert synthesis</x:v>
      </x:c>
    </x:row>
    <x:row r="25" ht="15" hidden="0" customHeight="1">
      <x:c r="A25" s="83" t="str">
        <x:v>PAIN-021</x:v>
      </x:c>
      <x:c r="B25" s="83" t="str">
        <x:v>PROC-11</x:v>
      </x:c>
      <x:c r="C25" s="83" t="str">
        <x:v>Transport billing</x:v>
      </x:c>
      <x:c r="D25" s="83" t="str">
        <x:v>Ročna uskladitev dogodkov, cenikov in računov</x:v>
      </x:c>
      <x:c r="E25" s="83" t="str">
        <x:v>visok čas ter napake</x:v>
      </x:c>
      <x:c r="F25" s="83" t="str">
        <x:v>čas/kakovost</x:v>
      </x:c>
      <x:c r="G25" s="83" t="str">
        <x:v>intervju + podatki</x:v>
      </x:c>
      <x:c r="H25" s="83" t="str">
        <x:v>expert synthesis</x:v>
      </x:c>
    </x:row>
    <x:row r="26" ht="15" hidden="0" customHeight="1">
      <x:c r="A26" s="85" t="str">
        <x:v>PAIN-022</x:v>
      </x:c>
      <x:c r="B26" s="85" t="str">
        <x:v>PROC-11</x:v>
      </x:c>
      <x:c r="C26" s="85" t="str">
        <x:v>Transport billing</x:v>
      </x:c>
      <x:c r="D26" s="85" t="str">
        <x:v>Neobračunani dodatki in čakanja</x:v>
      </x:c>
      <x:c r="E26" s="85" t="str">
        <x:v>neposredno uhajanje prihodka</x:v>
      </x:c>
      <x:c r="F26" s="85" t="str">
        <x:v>prihodek</x:v>
      </x:c>
      <x:c r="G26" s="85" t="str">
        <x:v>intervju + podatki</x:v>
      </x:c>
      <x:c r="H26" s="85" t="str">
        <x:v>expert synthesis</x:v>
      </x:c>
    </x:row>
    <x:row r="27" ht="15" hidden="0" customHeight="1">
      <x:c r="A27" s="83" t="str">
        <x:v>PAIN-023</x:v>
      </x:c>
      <x:c r="B27" s="83" t="str">
        <x:v>PROC-12</x:v>
      </x:c>
      <x:c r="C27" s="83" t="str">
        <x:v>Receivables and claims</x:v>
      </x:c>
      <x:c r="D27" s="83" t="str">
        <x:v>Ročna uskladitev dogodkov, cenikov in računov</x:v>
      </x:c>
      <x:c r="E27" s="83" t="str">
        <x:v>visok čas ter napake</x:v>
      </x:c>
      <x:c r="F27" s="83" t="str">
        <x:v>čas/kakovost</x:v>
      </x:c>
      <x:c r="G27" s="83" t="str">
        <x:v>intervju + podatki</x:v>
      </x:c>
      <x:c r="H27" s="83" t="str">
        <x:v>expert synthesis</x:v>
      </x:c>
    </x:row>
    <x:row r="28" ht="15" hidden="0" customHeight="1">
      <x:c r="A28" s="85" t="str">
        <x:v>PAIN-024</x:v>
      </x:c>
      <x:c r="B28" s="85" t="str">
        <x:v>PROC-12</x:v>
      </x:c>
      <x:c r="C28" s="85" t="str">
        <x:v>Receivables and claims</x:v>
      </x:c>
      <x:c r="D28" s="85" t="str">
        <x:v>Neobračunani dodatki in čakanja</x:v>
      </x:c>
      <x:c r="E28" s="85" t="str">
        <x:v>neposredno uhajanje prihodka</x:v>
      </x:c>
      <x:c r="F28" s="85" t="str">
        <x:v>prihodek</x:v>
      </x:c>
      <x:c r="G28" s="85" t="str">
        <x:v>intervju + podatki</x:v>
      </x:c>
      <x:c r="H28" s="85" t="str">
        <x:v>expert synthesis</x:v>
      </x:c>
    </x:row>
    <x:row r="29" ht="15" hidden="0" customHeight="1">
      <x:c r="A29" s="83" t="str">
        <x:v>PAIN-025</x:v>
      </x:c>
      <x:c r="B29" s="83" t="str">
        <x:v>PROC-13</x:v>
      </x:c>
      <x:c r="C29" s="83" t="str">
        <x:v>Inbound appointment</x:v>
      </x:c>
      <x:c r="D29" s="83" t="str">
        <x:v>Papirni nalogi in ročni premiki</x:v>
      </x:c>
      <x:c r="E29" s="83" t="str">
        <x:v>nizka produktivnost in napake</x:v>
      </x:c>
      <x:c r="F29" s="83" t="str">
        <x:v>čas/kakovost</x:v>
      </x:c>
      <x:c r="G29" s="83" t="str">
        <x:v>intervju + podatki</x:v>
      </x:c>
      <x:c r="H29" s="83" t="str">
        <x:v>expert synthesis</x:v>
      </x:c>
    </x:row>
    <x:row r="30" ht="15" hidden="0" customHeight="1">
      <x:c r="A30" s="85" t="str">
        <x:v>PAIN-026</x:v>
      </x:c>
      <x:c r="B30" s="85" t="str">
        <x:v>PROC-13</x:v>
      </x:c>
      <x:c r="C30" s="85" t="str">
        <x:v>Inbound appointment</x:v>
      </x:c>
      <x:c r="D30" s="85" t="str">
        <x:v>Netočna lokacija ali zaloga</x:v>
      </x:c>
      <x:c r="E30" s="85" t="str">
        <x:v>iskanje, ponovitve in SLA incidenti</x:v>
      </x:c>
      <x:c r="F30" s="85" t="str">
        <x:v>čas/SLA</x:v>
      </x:c>
      <x:c r="G30" s="85" t="str">
        <x:v>intervju + podatki</x:v>
      </x:c>
      <x:c r="H30" s="85" t="str">
        <x:v>expert synthesis</x:v>
      </x:c>
    </x:row>
    <x:row r="31" ht="15" hidden="0" customHeight="1">
      <x:c r="A31" s="83" t="str">
        <x:v>PAIN-027</x:v>
      </x:c>
      <x:c r="B31" s="83" t="str">
        <x:v>PROC-14</x:v>
      </x:c>
      <x:c r="C31" s="83" t="str">
        <x:v>Receiving and QC</x:v>
      </x:c>
      <x:c r="D31" s="83" t="str">
        <x:v>Papirni nalogi in ročni premiki</x:v>
      </x:c>
      <x:c r="E31" s="83" t="str">
        <x:v>nizka produktivnost in napake</x:v>
      </x:c>
      <x:c r="F31" s="83" t="str">
        <x:v>čas/kakovost</x:v>
      </x:c>
      <x:c r="G31" s="83" t="str">
        <x:v>intervju + podatki</x:v>
      </x:c>
      <x:c r="H31" s="83" t="str">
        <x:v>expert synthesis</x:v>
      </x:c>
    </x:row>
    <x:row r="32" ht="15" hidden="0" customHeight="1">
      <x:c r="A32" s="85" t="str">
        <x:v>PAIN-028</x:v>
      </x:c>
      <x:c r="B32" s="85" t="str">
        <x:v>PROC-14</x:v>
      </x:c>
      <x:c r="C32" s="85" t="str">
        <x:v>Receiving and QC</x:v>
      </x:c>
      <x:c r="D32" s="85" t="str">
        <x:v>Netočna lokacija ali zaloga</x:v>
      </x:c>
      <x:c r="E32" s="85" t="str">
        <x:v>iskanje, ponovitve in SLA incidenti</x:v>
      </x:c>
      <x:c r="F32" s="85" t="str">
        <x:v>čas/SLA</x:v>
      </x:c>
      <x:c r="G32" s="85" t="str">
        <x:v>intervju + podatki</x:v>
      </x:c>
      <x:c r="H32" s="85" t="str">
        <x:v>expert synthesis</x:v>
      </x:c>
    </x:row>
    <x:row r="33" ht="15" hidden="0" customHeight="1">
      <x:c r="A33" s="83" t="str">
        <x:v>PAIN-029</x:v>
      </x:c>
      <x:c r="B33" s="83" t="str">
        <x:v>PROC-15</x:v>
      </x:c>
      <x:c r="C33" s="83" t="str">
        <x:v>Put-away</x:v>
      </x:c>
      <x:c r="D33" s="83" t="str">
        <x:v>Papirni nalogi in ročni premiki</x:v>
      </x:c>
      <x:c r="E33" s="83" t="str">
        <x:v>nizka produktivnost in napake</x:v>
      </x:c>
      <x:c r="F33" s="83" t="str">
        <x:v>čas/kakovost</x:v>
      </x:c>
      <x:c r="G33" s="83" t="str">
        <x:v>intervju + podatki</x:v>
      </x:c>
      <x:c r="H33" s="83" t="str">
        <x:v>expert synthesis</x:v>
      </x:c>
    </x:row>
    <x:row r="34" ht="15" hidden="0" customHeight="1">
      <x:c r="A34" s="85" t="str">
        <x:v>PAIN-030</x:v>
      </x:c>
      <x:c r="B34" s="85" t="str">
        <x:v>PROC-15</x:v>
      </x:c>
      <x:c r="C34" s="85" t="str">
        <x:v>Put-away</x:v>
      </x:c>
      <x:c r="D34" s="85" t="str">
        <x:v>Netočna lokacija ali zaloga</x:v>
      </x:c>
      <x:c r="E34" s="85" t="str">
        <x:v>iskanje, ponovitve in SLA incidenti</x:v>
      </x:c>
      <x:c r="F34" s="85" t="str">
        <x:v>čas/SLA</x:v>
      </x:c>
      <x:c r="G34" s="85" t="str">
        <x:v>intervju + podatki</x:v>
      </x:c>
      <x:c r="H34" s="85" t="str">
        <x:v>expert synthesis</x:v>
      </x:c>
    </x:row>
    <x:row r="35" ht="15" hidden="0" customHeight="1">
      <x:c r="A35" s="83" t="str">
        <x:v>PAIN-031</x:v>
      </x:c>
      <x:c r="B35" s="83" t="str">
        <x:v>PROC-16</x:v>
      </x:c>
      <x:c r="C35" s="83" t="str">
        <x:v>Replenishment</x:v>
      </x:c>
      <x:c r="D35" s="83" t="str">
        <x:v>Papirni nalogi in ročni premiki</x:v>
      </x:c>
      <x:c r="E35" s="83" t="str">
        <x:v>nizka produktivnost in napake</x:v>
      </x:c>
      <x:c r="F35" s="83" t="str">
        <x:v>čas/kakovost</x:v>
      </x:c>
      <x:c r="G35" s="83" t="str">
        <x:v>intervju + podatki</x:v>
      </x:c>
      <x:c r="H35" s="83" t="str">
        <x:v>expert synthesis</x:v>
      </x:c>
    </x:row>
    <x:row r="36" ht="15" hidden="0" customHeight="1">
      <x:c r="A36" s="85" t="str">
        <x:v>PAIN-032</x:v>
      </x:c>
      <x:c r="B36" s="85" t="str">
        <x:v>PROC-16</x:v>
      </x:c>
      <x:c r="C36" s="85" t="str">
        <x:v>Replenishment</x:v>
      </x:c>
      <x:c r="D36" s="85" t="str">
        <x:v>Netočna lokacija ali zaloga</x:v>
      </x:c>
      <x:c r="E36" s="85" t="str">
        <x:v>iskanje, ponovitve in SLA incidenti</x:v>
      </x:c>
      <x:c r="F36" s="85" t="str">
        <x:v>čas/SLA</x:v>
      </x:c>
      <x:c r="G36" s="85" t="str">
        <x:v>intervju + podatki</x:v>
      </x:c>
      <x:c r="H36" s="85" t="str">
        <x:v>expert synthesis</x:v>
      </x:c>
    </x:row>
    <x:row r="37" ht="15" hidden="0" customHeight="1">
      <x:c r="A37" s="83" t="str">
        <x:v>PAIN-033</x:v>
      </x:c>
      <x:c r="B37" s="83" t="str">
        <x:v>PROC-17</x:v>
      </x:c>
      <x:c r="C37" s="83" t="str">
        <x:v>Picking</x:v>
      </x:c>
      <x:c r="D37" s="83" t="str">
        <x:v>Papirni nalogi in ročni premiki</x:v>
      </x:c>
      <x:c r="E37" s="83" t="str">
        <x:v>nizka produktivnost in napake</x:v>
      </x:c>
      <x:c r="F37" s="83" t="str">
        <x:v>čas/kakovost</x:v>
      </x:c>
      <x:c r="G37" s="83" t="str">
        <x:v>intervju + podatki</x:v>
      </x:c>
      <x:c r="H37" s="83" t="str">
        <x:v>expert synthesis</x:v>
      </x:c>
    </x:row>
    <x:row r="38" ht="15" hidden="0" customHeight="1">
      <x:c r="A38" s="85" t="str">
        <x:v>PAIN-034</x:v>
      </x:c>
      <x:c r="B38" s="85" t="str">
        <x:v>PROC-17</x:v>
      </x:c>
      <x:c r="C38" s="85" t="str">
        <x:v>Picking</x:v>
      </x:c>
      <x:c r="D38" s="85" t="str">
        <x:v>Netočna lokacija ali zaloga</x:v>
      </x:c>
      <x:c r="E38" s="85" t="str">
        <x:v>iskanje, ponovitve in SLA incidenti</x:v>
      </x:c>
      <x:c r="F38" s="85" t="str">
        <x:v>čas/SLA</x:v>
      </x:c>
      <x:c r="G38" s="85" t="str">
        <x:v>intervju + podatki</x:v>
      </x:c>
      <x:c r="H38" s="85" t="str">
        <x:v>expert synthesis</x:v>
      </x:c>
    </x:row>
    <x:row r="39" ht="15" hidden="0" customHeight="1">
      <x:c r="A39" s="83" t="str">
        <x:v>PAIN-035</x:v>
      </x:c>
      <x:c r="B39" s="83" t="str">
        <x:v>PROC-18</x:v>
      </x:c>
      <x:c r="C39" s="83" t="str">
        <x:v>Packing and staging</x:v>
      </x:c>
      <x:c r="D39" s="83" t="str">
        <x:v>Papirni nalogi in ročni premiki</x:v>
      </x:c>
      <x:c r="E39" s="83" t="str">
        <x:v>nizka produktivnost in napake</x:v>
      </x:c>
      <x:c r="F39" s="83" t="str">
        <x:v>čas/kakovost</x:v>
      </x:c>
      <x:c r="G39" s="83" t="str">
        <x:v>intervju + podatki</x:v>
      </x:c>
      <x:c r="H39" s="83" t="str">
        <x:v>expert synthesis</x:v>
      </x:c>
    </x:row>
    <x:row r="40">
      <x:c r="A40" s="85" t="str">
        <x:v>PAIN-036</x:v>
      </x:c>
      <x:c r="B40" s="85" t="str">
        <x:v>PROC-18</x:v>
      </x:c>
      <x:c r="C40" s="85" t="str">
        <x:v>Packing and staging</x:v>
      </x:c>
      <x:c r="D40" s="85" t="str">
        <x:v>Netočna lokacija ali zaloga</x:v>
      </x:c>
      <x:c r="E40" s="85" t="str">
        <x:v>iskanje, ponovitve in SLA incidenti</x:v>
      </x:c>
      <x:c r="F40" s="85" t="str">
        <x:v>čas/SLA</x:v>
      </x:c>
      <x:c r="G40" s="85" t="str">
        <x:v>intervju + podatki</x:v>
      </x:c>
      <x:c r="H40" s="85" t="str">
        <x:v>expert synthesis</x:v>
      </x:c>
    </x:row>
    <x:row r="41">
      <x:c r="A41" s="83" t="str">
        <x:v>PAIN-037</x:v>
      </x:c>
      <x:c r="B41" s="83" t="str">
        <x:v>PROC-19</x:v>
      </x:c>
      <x:c r="C41" s="83" t="str">
        <x:v>Shipping</x:v>
      </x:c>
      <x:c r="D41" s="83" t="str">
        <x:v>Papirni nalogi in ročni premiki</x:v>
      </x:c>
      <x:c r="E41" s="83" t="str">
        <x:v>nizka produktivnost in napake</x:v>
      </x:c>
      <x:c r="F41" s="83" t="str">
        <x:v>čas/kakovost</x:v>
      </x:c>
      <x:c r="G41" s="83" t="str">
        <x:v>intervju + podatki</x:v>
      </x:c>
      <x:c r="H41" s="83" t="str">
        <x:v>expert synthesis</x:v>
      </x:c>
    </x:row>
    <x:row r="42">
      <x:c r="A42" s="85" t="str">
        <x:v>PAIN-038</x:v>
      </x:c>
      <x:c r="B42" s="85" t="str">
        <x:v>PROC-19</x:v>
      </x:c>
      <x:c r="C42" s="85" t="str">
        <x:v>Shipping</x:v>
      </x:c>
      <x:c r="D42" s="85" t="str">
        <x:v>Netočna lokacija ali zaloga</x:v>
      </x:c>
      <x:c r="E42" s="85" t="str">
        <x:v>iskanje, ponovitve in SLA incidenti</x:v>
      </x:c>
      <x:c r="F42" s="85" t="str">
        <x:v>čas/SLA</x:v>
      </x:c>
      <x:c r="G42" s="85" t="str">
        <x:v>intervju + podatki</x:v>
      </x:c>
      <x:c r="H42" s="85" t="str">
        <x:v>expert synthesis</x:v>
      </x:c>
    </x:row>
    <x:row r="43">
      <x:c r="A43" s="83" t="str">
        <x:v>PAIN-039</x:v>
      </x:c>
      <x:c r="B43" s="83" t="str">
        <x:v>PROC-20</x:v>
      </x:c>
      <x:c r="C43" s="83" t="str">
        <x:v>Inventory control</x:v>
      </x:c>
      <x:c r="D43" s="83" t="str">
        <x:v>Papirni nalogi in ročni premiki</x:v>
      </x:c>
      <x:c r="E43" s="83" t="str">
        <x:v>nizka produktivnost in napake</x:v>
      </x:c>
      <x:c r="F43" s="83" t="str">
        <x:v>čas/kakovost</x:v>
      </x:c>
      <x:c r="G43" s="83" t="str">
        <x:v>intervju + podatki</x:v>
      </x:c>
      <x:c r="H43" s="83" t="str">
        <x:v>expert synthesis</x:v>
      </x:c>
    </x:row>
    <x:row r="44">
      <x:c r="A44" s="85" t="str">
        <x:v>PAIN-040</x:v>
      </x:c>
      <x:c r="B44" s="85" t="str">
        <x:v>PROC-20</x:v>
      </x:c>
      <x:c r="C44" s="85" t="str">
        <x:v>Inventory control</x:v>
      </x:c>
      <x:c r="D44" s="85" t="str">
        <x:v>Netočna lokacija ali zaloga</x:v>
      </x:c>
      <x:c r="E44" s="85" t="str">
        <x:v>iskanje, ponovitve in SLA incidenti</x:v>
      </x:c>
      <x:c r="F44" s="85" t="str">
        <x:v>čas/SLA</x:v>
      </x:c>
      <x:c r="G44" s="85" t="str">
        <x:v>intervju + podatki</x:v>
      </x:c>
      <x:c r="H44" s="85" t="str">
        <x:v>expert synthesis</x:v>
      </x:c>
    </x:row>
    <x:row r="45">
      <x:c r="A45" s="83" t="str">
        <x:v>PAIN-041</x:v>
      </x:c>
      <x:c r="B45" s="83" t="str">
        <x:v>PROC-21</x:v>
      </x:c>
      <x:c r="C45" s="83" t="str">
        <x:v>Returns</x:v>
      </x:c>
      <x:c r="D45" s="83" t="str">
        <x:v>Papirni nalogi in ročni premiki</x:v>
      </x:c>
      <x:c r="E45" s="83" t="str">
        <x:v>nizka produktivnost in napake</x:v>
      </x:c>
      <x:c r="F45" s="83" t="str">
        <x:v>čas/kakovost</x:v>
      </x:c>
      <x:c r="G45" s="83" t="str">
        <x:v>intervju + podatki</x:v>
      </x:c>
      <x:c r="H45" s="83" t="str">
        <x:v>expert synthesis</x:v>
      </x:c>
    </x:row>
    <x:row r="46">
      <x:c r="A46" s="85" t="str">
        <x:v>PAIN-042</x:v>
      </x:c>
      <x:c r="B46" s="85" t="str">
        <x:v>PROC-21</x:v>
      </x:c>
      <x:c r="C46" s="85" t="str">
        <x:v>Returns</x:v>
      </x:c>
      <x:c r="D46" s="85" t="str">
        <x:v>Netočna lokacija ali zaloga</x:v>
      </x:c>
      <x:c r="E46" s="85" t="str">
        <x:v>iskanje, ponovitve in SLA incidenti</x:v>
      </x:c>
      <x:c r="F46" s="85" t="str">
        <x:v>čas/SLA</x:v>
      </x:c>
      <x:c r="G46" s="85" t="str">
        <x:v>intervju + podatki</x:v>
      </x:c>
      <x:c r="H46" s="85" t="str">
        <x:v>expert synthesis</x:v>
      </x:c>
    </x:row>
    <x:row r="47">
      <x:c r="A47" s="83" t="str">
        <x:v>PAIN-043</x:v>
      </x:c>
      <x:c r="B47" s="83" t="str">
        <x:v>PROC-22</x:v>
      </x:c>
      <x:c r="C47" s="83" t="str">
        <x:v>3PL service billing</x:v>
      </x:c>
      <x:c r="D47" s="83" t="str">
        <x:v>Operativni dogodki niso obračunski dogodki</x:v>
      </x:c>
      <x:c r="E47" s="83" t="str">
        <x:v>neobračunane storitve</x:v>
      </x:c>
      <x:c r="F47" s="83" t="str">
        <x:v>prihodek</x:v>
      </x:c>
      <x:c r="G47" s="83" t="str">
        <x:v>intervju + podatki</x:v>
      </x:c>
      <x:c r="H47" s="83" t="str">
        <x:v>expert synthesis</x:v>
      </x:c>
    </x:row>
    <x:row r="48">
      <x:c r="A48" s="85" t="str">
        <x:v>PAIN-044</x:v>
      </x:c>
      <x:c r="B48" s="85" t="str">
        <x:v>PROC-22</x:v>
      </x:c>
      <x:c r="C48" s="85" t="str">
        <x:v>3PL service billing</x:v>
      </x:c>
      <x:c r="D48" s="85" t="str">
        <x:v>Ročni izračun paleta-dni in manipulacij</x:v>
      </x:c>
      <x:c r="E48" s="85" t="str">
        <x:v>zamude in spori</x:v>
      </x:c>
      <x:c r="F48" s="85" t="str">
        <x:v>čas/denarni tok</x:v>
      </x:c>
      <x:c r="G48" s="85" t="str">
        <x:v>intervju + podatki</x:v>
      </x:c>
      <x:c r="H48" s="85" t="str">
        <x:v>expert synthesis</x:v>
      </x:c>
    </x:row>
    <x:row r="49">
      <x:c r="A49" s="83" t="str">
        <x:v>PAIN-045</x:v>
      </x:c>
      <x:c r="B49" s="83" t="str">
        <x:v>PROC-23</x:v>
      </x:c>
      <x:c r="C49" s="83" t="str">
        <x:v>Fleet maintenance</x:v>
      </x:c>
      <x:c r="D49" s="83" t="str">
        <x:v>Reaktivno vzdrževanje</x:v>
      </x:c>
      <x:c r="E49" s="83" t="str">
        <x:v>izpad, nujni servis in nadomestno vozilo</x:v>
      </x:c>
      <x:c r="F49" s="83" t="str">
        <x:v>strošek/kapaciteta</x:v>
      </x:c>
      <x:c r="G49" s="83" t="str">
        <x:v>intervju + podatki</x:v>
      </x:c>
      <x:c r="H49" s="83" t="str">
        <x:v>expert synthesis</x:v>
      </x:c>
    </x:row>
    <x:row r="50">
      <x:c r="A50" s="85" t="str">
        <x:v>PAIN-046</x:v>
      </x:c>
      <x:c r="B50" s="85" t="str">
        <x:v>PROC-23</x:v>
      </x:c>
      <x:c r="C50" s="85" t="str">
        <x:v>Fleet maintenance</x:v>
      </x:c>
      <x:c r="D50" s="85" t="str">
        <x:v>Telematika ni povezana s stroški</x:v>
      </x:c>
      <x:c r="E50" s="85" t="str">
        <x:v>ni lastne cene in nadzora anomalij</x:v>
      </x:c>
      <x:c r="F50" s="85" t="str">
        <x:v>marža/kontrola</x:v>
      </x:c>
      <x:c r="G50" s="85" t="str">
        <x:v>intervju + podatki</x:v>
      </x:c>
      <x:c r="H50" s="85" t="str">
        <x:v>expert synthesis</x:v>
      </x:c>
    </x:row>
    <x:row r="51">
      <x:c r="A51" s="83" t="str">
        <x:v>PAIN-047</x:v>
      </x:c>
      <x:c r="B51" s="83" t="str">
        <x:v>PROC-24</x:v>
      </x:c>
      <x:c r="C51" s="83" t="str">
        <x:v>Fuel and toll control</x:v>
      </x:c>
      <x:c r="D51" s="83" t="str">
        <x:v>Gorivo in cestnine se usklajujejo ročno</x:v>
      </x:c>
      <x:c r="E51" s="83" t="str">
        <x:v>čas in zamujene anomalije</x:v>
      </x:c>
      <x:c r="F51" s="83" t="str">
        <x:v>čas/strošek</x:v>
      </x:c>
      <x:c r="G51" s="83" t="str">
        <x:v>intervju + podatki</x:v>
      </x:c>
      <x:c r="H51" s="83" t="str">
        <x:v>expert synthesis</x:v>
      </x:c>
    </x:row>
    <x:row r="52">
      <x:c r="A52" s="85" t="str">
        <x:v>PAIN-048</x:v>
      </x:c>
      <x:c r="B52" s="85" t="str">
        <x:v>PROC-24</x:v>
      </x:c>
      <x:c r="C52" s="85" t="str">
        <x:v>Fuel and toll control</x:v>
      </x:c>
      <x:c r="D52" s="85" t="str">
        <x:v>Normativi niso vezani na vozilo/relacijo</x:v>
      </x:c>
      <x:c r="E52" s="85" t="str">
        <x:v>slaba lastna cena</x:v>
      </x:c>
      <x:c r="F52" s="85" t="str">
        <x:v>marža</x:v>
      </x:c>
      <x:c r="G52" s="85" t="str">
        <x:v>intervju + podatki</x:v>
      </x:c>
      <x:c r="H52" s="85" t="str">
        <x:v>expert synthesis</x:v>
      </x:c>
    </x:row>
    <x:row r="53">
      <x:c r="A53" s="83" t="str">
        <x:v>PAIN-049</x:v>
      </x:c>
      <x:c r="B53" s="83" t="str">
        <x:v>PROC-25</x:v>
      </x:c>
      <x:c r="C53" s="83" t="str">
        <x:v>Driver and workforce</x:v>
      </x:c>
      <x:c r="D53" s="83" t="str">
        <x:v>Razpoložljivost voznika ni v istem planu</x:v>
      </x:c>
      <x:c r="E53" s="83" t="str">
        <x:v>neizvedljiv plan in kršitve</x:v>
      </x:c>
      <x:c r="F53" s="83" t="str">
        <x:v>SLA/skladnost</x:v>
      </x:c>
      <x:c r="G53" s="83" t="str">
        <x:v>intervju + podatki</x:v>
      </x:c>
      <x:c r="H53" s="83" t="str">
        <x:v>expert synthesis</x:v>
      </x:c>
    </x:row>
    <x:row r="54">
      <x:c r="A54" s="85" t="str">
        <x:v>PAIN-050</x:v>
      </x:c>
      <x:c r="B54" s="85" t="str">
        <x:v>PROC-25</x:v>
      </x:c>
      <x:c r="C54" s="85" t="str">
        <x:v>Driver and workforce</x:v>
      </x:c>
      <x:c r="D54" s="85" t="str">
        <x:v>Znanje je odvisno od ključne osebe</x:v>
      </x:c>
      <x:c r="E54" s="85" t="str">
        <x:v>operativno tveganje in počasno uvajanje</x:v>
      </x:c>
      <x:c r="F54" s="85" t="str">
        <x:v>tveganje</x:v>
      </x:c>
      <x:c r="G54" s="85" t="str">
        <x:v>intervju + podatki</x:v>
      </x:c>
      <x:c r="H54" s="85" t="str">
        <x:v>expert synthesis</x:v>
      </x:c>
    </x:row>
    <x:row r="55">
      <x:c r="A55" s="83" t="str">
        <x:v>PAIN-051</x:v>
      </x:c>
      <x:c r="B55" s="83" t="str">
        <x:v>PROC-26</x:v>
      </x:c>
      <x:c r="C55" s="83" t="str">
        <x:v>Compliance and documents</x:v>
      </x:c>
      <x:c r="D55" s="83" t="str">
        <x:v>Roki dokazil so v preglednicah</x:v>
      </x:c>
      <x:c r="E55" s="83" t="str">
        <x:v>potek, kršitev ali ustavitev</x:v>
      </x:c>
      <x:c r="F55" s="83" t="str">
        <x:v>skladnost</x:v>
      </x:c>
      <x:c r="G55" s="83" t="str">
        <x:v>intervju + podatki</x:v>
      </x:c>
      <x:c r="H55" s="83" t="str">
        <x:v>expert synthesis</x:v>
      </x:c>
    </x:row>
    <x:row r="56">
      <x:c r="A56" s="85" t="str">
        <x:v>PAIN-052</x:v>
      </x:c>
      <x:c r="B56" s="85" t="str">
        <x:v>PROC-26</x:v>
      </x:c>
      <x:c r="C56" s="85" t="str">
        <x:v>Compliance and documents</x:v>
      </x:c>
      <x:c r="D56" s="85" t="str">
        <x:v>Dokazila so razpršena</x:v>
      </x:c>
      <x:c r="E56" s="85" t="str">
        <x:v>dolga revizija in spori</x:v>
      </x:c>
      <x:c r="F56" s="85" t="str">
        <x:v>čas/tveganje</x:v>
      </x:c>
      <x:c r="G56" s="85" t="str">
        <x:v>intervju + podatki</x:v>
      </x:c>
      <x:c r="H56" s="85" t="str">
        <x:v>expert synthesis</x:v>
      </x:c>
    </x:row>
    <x:row r="57">
      <x:c r="A57" s="83" t="str">
        <x:v>PAIN-053</x:v>
      </x:c>
      <x:c r="B57" s="83" t="str">
        <x:v>PROC-27</x:v>
      </x:c>
      <x:c r="C57" s="83" t="str">
        <x:v>Management reporting</x:v>
      </x:c>
      <x:c r="D57" s="83" t="str">
        <x:v>KPI imajo več definicij</x:v>
      </x:c>
      <x:c r="E57" s="83" t="str">
        <x:v>spori namesto odločitev</x:v>
      </x:c>
      <x:c r="F57" s="83" t="str">
        <x:v>odločanje</x:v>
      </x:c>
      <x:c r="G57" s="83" t="str">
        <x:v>intervju + podatki</x:v>
      </x:c>
      <x:c r="H57" s="83" t="str">
        <x:v>expert synthesis</x:v>
      </x:c>
    </x:row>
    <x:row r="58">
      <x:c r="A58" s="85" t="str">
        <x:v>PAIN-054</x:v>
      </x:c>
      <x:c r="B58" s="85" t="str">
        <x:v>PROC-27</x:v>
      </x:c>
      <x:c r="C58" s="85" t="str">
        <x:v>Management reporting</x:v>
      </x:c>
      <x:c r="D58" s="85" t="str">
        <x:v>Poročilo je pozno in ročno</x:v>
      </x:c>
      <x:c r="E58" s="85" t="str">
        <x:v>reaktivno vodenje</x:v>
      </x:c>
      <x:c r="F58" s="85" t="str">
        <x:v>čas/odločanje</x:v>
      </x:c>
      <x:c r="G58" s="85" t="str">
        <x:v>intervju + podatki</x:v>
      </x:c>
      <x:c r="H58" s="85" t="str">
        <x:v>expert synthesis</x:v>
      </x:c>
    </x:row>
    <x:row r="59">
      <x:c r="A59" s="83" t="str">
        <x:v>PAIN-055</x:v>
      </x:c>
      <x:c r="B59" s="83" t="str">
        <x:v>PROC-28</x:v>
      </x:c>
      <x:c r="C59" s="83" t="str">
        <x:v>Master data and integration</x:v>
      </x:c>
      <x:c r="D59" s="83" t="str">
        <x:v>Točkovne integracije brez lastništva</x:v>
      </x:c>
      <x:c r="E59" s="83" t="str">
        <x:v>napake, drago vzdrževanje in tehnični dolg</x:v>
      </x:c>
      <x:c r="F59" s="83" t="str">
        <x:v>TCO/tveganje</x:v>
      </x:c>
      <x:c r="G59" s="83" t="str">
        <x:v>intervju + podatki</x:v>
      </x:c>
      <x:c r="H59" s="83" t="str">
        <x:v>expert synthesis</x:v>
      </x:c>
    </x:row>
    <x:row r="60">
      <x:c r="A60" s="86" t="str">
        <x:v>PAIN-056</x:v>
      </x:c>
      <x:c r="B60" s="86" t="str">
        <x:v>PROC-28</x:v>
      </x:c>
      <x:c r="C60" s="86" t="str">
        <x:v>Master data and integration</x:v>
      </x:c>
      <x:c r="D60" s="86" t="str">
        <x:v>Šifranti niso usklajeni</x:v>
      </x:c>
      <x:c r="E60" s="86" t="str">
        <x:v>duplikati in napačna analitika</x:v>
      </x:c>
      <x:c r="F60" s="86" t="str">
        <x:v>kakovost podatkov</x:v>
      </x:c>
      <x:c r="G60" s="86" t="str">
        <x:v>intervju + podatki</x:v>
      </x:c>
      <x:c r="H60" s="86" t="str">
        <x:v>expert synthesis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01272c3ac1744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46" hidden="0" customWidth="1"/>
    <x:col min="5" max="5" width="16" hidden="0" customWidth="1"/>
    <x:col min="6" max="6" width="16" hidden="0" customWidth="1"/>
    <x:col min="7" max="7" width="48" hidden="0" customWidth="1"/>
    <x:col min="8" max="8" width="20" hidden="0" customWidth="1"/>
  </x:cols>
  <x:sheetData>
    <x:row r="1" ht="34" customHeight="1">
      <x:c r="A1" s="4" t="str">
        <x:v>KPI slovar</x:v>
      </x:c>
      <x:c r="B1" s="4"/>
      <x:c r="C1" s="4"/>
      <x:c r="D1" s="4"/>
      <x:c r="E1" s="4"/>
      <x:c r="F1" s="4"/>
      <x:c r="G1" s="4"/>
      <x:c r="H1" s="4"/>
    </x:row>
    <x:row r="2" ht="31" customHeight="1">
      <x:c r="A2" s="8" t="str">
        <x:v>Metoda, imenovalec in omejitev so del definicije KPI-ja.</x:v>
      </x:c>
      <x:c r="B2" s="8"/>
      <x:c r="C2" s="8"/>
      <x:c r="D2" s="8"/>
      <x:c r="E2" s="8"/>
      <x:c r="F2" s="8"/>
      <x:c r="G2" s="8"/>
      <x:c r="H2" s="8"/>
    </x:row>
    <x:row r="4" ht="15" hidden="0" customHeight="1">
      <x:c r="A4" s="74" t="str">
        <x:v>ID</x:v>
      </x:c>
      <x:c r="B4" s="74" t="str">
        <x:v>KPI</x:v>
      </x:c>
      <x:c r="C4" s="74" t="str">
        <x:v>Domena</x:v>
      </x:c>
      <x:c r="D4" s="74" t="str">
        <x:v>Formula</x:v>
      </x:c>
      <x:c r="E4" s="74" t="str">
        <x:v>Enota</x:v>
      </x:c>
      <x:c r="F4" s="74" t="str">
        <x:v>Frekvenca</x:v>
      </x:c>
      <x:c r="G4" s="74" t="str">
        <x:v>Omejitev</x:v>
      </x:c>
      <x:c r="H4" s="74" t="str">
        <x:v>Vir</x:v>
      </x:c>
    </x:row>
    <x:row r="5" ht="15" hidden="0" customHeight="1">
      <x:c r="A5" s="82" t="str">
        <x:v>KPI-001</x:v>
      </x:c>
      <x:c r="B5" s="82" t="str">
        <x:v>Delež praznih km</x:v>
      </x:c>
      <x:c r="C5" s="82" t="str">
        <x:v>transport</x:v>
      </x:c>
      <x:c r="D5" s="82" t="str">
        <x:v>prazni km / skupni km</x:v>
      </x:c>
      <x:c r="E5" s="82" t="str">
        <x:v>%</x:v>
      </x:c>
      <x:c r="F5" s="82" t="str">
        <x:v>mesečno</x:v>
      </x:c>
      <x:c r="G5" s="82" t="str">
        <x:v>ločiti domače/mednarodno in repozicioniranje</x:v>
      </x:c>
      <x:c r="H5" s="82" t="str">
        <x:v>SRC-001; SRC-005</x:v>
      </x:c>
    </x:row>
    <x:row r="6" ht="15" hidden="0" customHeight="1">
      <x:c r="A6" s="85" t="str">
        <x:v>KPI-002</x:v>
      </x:c>
      <x:c r="B6" s="85" t="str">
        <x:v>Delež naloženih km</x:v>
      </x:c>
      <x:c r="C6" s="85" t="str">
        <x:v>transport</x:v>
      </x:c>
      <x:c r="D6" s="85" t="str">
        <x:v>naloženi km / skupni km</x:v>
      </x:c>
      <x:c r="E6" s="85" t="str">
        <x:v>%</x:v>
      </x:c>
      <x:c r="F6" s="85" t="str">
        <x:v>mesečno</x:v>
      </x:c>
      <x:c r="G6" s="85" t="str">
        <x:v>komplement KPI-001 le ob isti definiciji</x:v>
      </x:c>
      <x:c r="H6" s="85" t="str">
        <x:v>SRC-001</x:v>
      </x:c>
    </x:row>
    <x:row r="7" ht="15" hidden="0" customHeight="1">
      <x:c r="A7" s="83" t="str">
        <x:v>KPI-003</x:v>
      </x:c>
      <x:c r="B7" s="83" t="str">
        <x:v>Strošek na km</x:v>
      </x:c>
      <x:c r="C7" s="83" t="str">
        <x:v>transport</x:v>
      </x:c>
      <x:c r="D7" s="83" t="str">
        <x:v>vsi pripisani stroški / skupni km</x:v>
      </x:c>
      <x:c r="E7" s="83" t="str">
        <x:v>EUR/km</x:v>
      </x:c>
      <x:c r="F7" s="83" t="str">
        <x:v>mesečno</x:v>
      </x:c>
      <x:c r="G7" s="83" t="str">
        <x:v>jasno ločiti variabilni, fiksni in polni strošek</x:v>
      </x:c>
      <x:c r="H7" s="83" t="str">
        <x:v>expert synthesis</x:v>
      </x:c>
    </x:row>
    <x:row r="8" ht="15" hidden="0" customHeight="1">
      <x:c r="A8" s="85" t="str">
        <x:v>KPI-004</x:v>
      </x:c>
      <x:c r="B8" s="85" t="str">
        <x:v>Prispevek na km</x:v>
      </x:c>
      <x:c r="C8" s="85" t="str">
        <x:v>transport</x:v>
      </x:c>
      <x:c r="D8" s="85" t="str">
        <x:v>(prihodek - variabilni stroški) / km</x:v>
      </x:c>
      <x:c r="E8" s="85" t="str">
        <x:v>EUR/km</x:v>
      </x:c>
      <x:c r="F8" s="85" t="str">
        <x:v>mesečno</x:v>
      </x:c>
      <x:c r="G8" s="85" t="str">
        <x:v>ne zamenjati z EBITDA/km</x:v>
      </x:c>
      <x:c r="H8" s="85" t="str">
        <x:v>expert synthesis</x:v>
      </x:c>
    </x:row>
    <x:row r="9" ht="15" hidden="0" customHeight="1">
      <x:c r="A9" s="83" t="str">
        <x:v>KPI-005</x:v>
      </x:c>
      <x:c r="B9" s="83" t="str">
        <x:v>Prihodek na vozilo-dan</x:v>
      </x:c>
      <x:c r="C9" s="83" t="str">
        <x:v>transport</x:v>
      </x:c>
      <x:c r="D9" s="83" t="str">
        <x:v>transportni prihodek / razpoložljivi vozilo-dnevi</x:v>
      </x:c>
      <x:c r="E9" s="83" t="str">
        <x:v>EUR</x:v>
      </x:c>
      <x:c r="F9" s="83" t="str">
        <x:v>tedensko</x:v>
      </x:c>
      <x:c r="G9" s="83" t="str">
        <x:v>ločiti razpoložljivo in koledarsko</x:v>
      </x:c>
      <x:c r="H9" s="83" t="str">
        <x:v>expert synthesis</x:v>
      </x:c>
    </x:row>
    <x:row r="10" ht="15" hidden="0" customHeight="1">
      <x:c r="A10" s="85" t="str">
        <x:v>KPI-006</x:v>
      </x:c>
      <x:c r="B10" s="85" t="str">
        <x:v>OTIF</x:v>
      </x:c>
      <x:c r="C10" s="85" t="str">
        <x:v>storitev</x:v>
      </x:c>
      <x:c r="D10" s="85" t="str">
        <x:v>pravočasne in popolne dostave / vse dostave</x:v>
      </x:c>
      <x:c r="E10" s="85" t="str">
        <x:v>%</x:v>
      </x:c>
      <x:c r="F10" s="85" t="str">
        <x:v>tedensko</x:v>
      </x:c>
      <x:c r="G10" s="85" t="str">
        <x:v>časovno okno in popolnost morata biti dogovorjena</x:v>
      </x:c>
      <x:c r="H10" s="85" t="str">
        <x:v>multi-source</x:v>
      </x:c>
    </x:row>
    <x:row r="11" ht="15" hidden="0" customHeight="1">
      <x:c r="A11" s="83" t="str">
        <x:v>KPI-007</x:v>
      </x:c>
      <x:c r="B11" s="83" t="str">
        <x:v>POD latenca</x:v>
      </x:c>
      <x:c r="C11" s="83" t="str">
        <x:v>finance</x:v>
      </x:c>
      <x:c r="D11" s="83" t="str">
        <x:v>čas POD - čas dostave</x:v>
      </x:c>
      <x:c r="E11" s="83" t="str">
        <x:v>ure/dnevi</x:v>
      </x:c>
      <x:c r="F11" s="83" t="str">
        <x:v>dnevno</x:v>
      </x:c>
      <x:c r="G11" s="83" t="str">
        <x:v>median in P90 sta boljša od povprečja</x:v>
      </x:c>
      <x:c r="H11" s="83" t="str">
        <x:v>expert synthesis</x:v>
      </x:c>
    </x:row>
    <x:row r="12" ht="15" hidden="0" customHeight="1">
      <x:c r="A12" s="85" t="str">
        <x:v>KPI-008</x:v>
      </x:c>
      <x:c r="B12" s="85" t="str">
        <x:v>POD-to-invoice</x:v>
      </x:c>
      <x:c r="C12" s="85" t="str">
        <x:v>finance</x:v>
      </x:c>
      <x:c r="D12" s="85" t="str">
        <x:v>čas izdaje računa - čas dostave/POD</x:v>
      </x:c>
      <x:c r="E12" s="85" t="str">
        <x:v>ure/dnevi</x:v>
      </x:c>
      <x:c r="F12" s="85" t="str">
        <x:v>tedensko</x:v>
      </x:c>
      <x:c r="G12" s="85" t="str">
        <x:v>zabeležiti dogovorjeni sprožilec računa</x:v>
      </x:c>
      <x:c r="H12" s="85" t="str">
        <x:v>expert synthesis</x:v>
      </x:c>
    </x:row>
    <x:row r="13" ht="15" hidden="0" customHeight="1">
      <x:c r="A13" s="83" t="str">
        <x:v>KPI-009</x:v>
      </x:c>
      <x:c r="B13" s="83" t="str">
        <x:v>DSO</x:v>
      </x:c>
      <x:c r="C13" s="83" t="str">
        <x:v>finance</x:v>
      </x:c>
      <x:c r="D13" s="83" t="str">
        <x:v>terjatve / kreditna prodaja × dnevi</x:v>
      </x:c>
      <x:c r="E13" s="83" t="str">
        <x:v>dnevi</x:v>
      </x:c>
      <x:c r="F13" s="83" t="str">
        <x:v>mesečno</x:v>
      </x:c>
      <x:c r="G13" s="83" t="str">
        <x:v>uporabiti konsistentno obdobje</x:v>
      </x:c>
      <x:c r="H13" s="83" t="str">
        <x:v>SRC-031</x:v>
      </x:c>
    </x:row>
    <x:row r="14" ht="15" hidden="0" customHeight="1">
      <x:c r="A14" s="85" t="str">
        <x:v>KPI-010</x:v>
      </x:c>
      <x:c r="B14" s="85" t="str">
        <x:v>Freight billing leakage</x:v>
      </x:c>
      <x:c r="C14" s="85" t="str">
        <x:v>finance</x:v>
      </x:c>
      <x:c r="D14" s="85" t="str">
        <x:v>dokazano neobračunani upravičeni zneski / upravičeni zneski</x:v>
      </x:c>
      <x:c r="E14" s="85" t="str">
        <x:v>%</x:v>
      </x:c>
      <x:c r="F14" s="85" t="str">
        <x:v>mesečno</x:v>
      </x:c>
      <x:c r="G14" s="85" t="str">
        <x:v>zahteva audit vzorec</x:v>
      </x:c>
      <x:c r="H14" s="85" t="str">
        <x:v>expert synthesis</x:v>
      </x:c>
    </x:row>
    <x:row r="15" ht="15" hidden="0" customHeight="1">
      <x:c r="A15" s="83" t="str">
        <x:v>KPI-011</x:v>
      </x:c>
      <x:c r="B15" s="83" t="str">
        <x:v>Bruto marža špedicije</x:v>
      </x:c>
      <x:c r="C15" s="83" t="str">
        <x:v>špedicija</x:v>
      </x:c>
      <x:c r="D15" s="83" t="str">
        <x:v>(prodaja prevoza - nabava prevoza) / prodaja prevoza</x:v>
      </x:c>
      <x:c r="E15" s="83" t="str">
        <x:v>%</x:v>
      </x:c>
      <x:c r="F15" s="83" t="str">
        <x:v>po poslu in mesečno</x:v>
      </x:c>
      <x:c r="G15" s="83" t="str">
        <x:v>upoštevati dodatke in dobropise</x:v>
      </x:c>
      <x:c r="H15" s="83" t="str">
        <x:v>expert synthesis</x:v>
      </x:c>
    </x:row>
    <x:row r="16" ht="15" hidden="0" customHeight="1">
      <x:c r="A16" s="85" t="str">
        <x:v>KPI-012</x:v>
      </x:c>
      <x:c r="B16" s="85" t="str">
        <x:v>Spot premija</x:v>
      </x:c>
      <x:c r="C16" s="85" t="str">
        <x:v>špedicija</x:v>
      </x:c>
      <x:c r="D16" s="85" t="str">
        <x:v>spot cena - referenčna/pogodbena cena</x:v>
      </x:c>
      <x:c r="E16" s="85" t="str">
        <x:v>EUR ali %</x:v>
      </x:c>
      <x:c r="F16" s="85" t="str">
        <x:v>tedensko</x:v>
      </x:c>
      <x:c r="G16" s="85" t="str">
        <x:v>primerljiva relacija, oprema in datum</x:v>
      </x:c>
      <x:c r="H16" s="85" t="str">
        <x:v>SRC-033</x:v>
      </x:c>
    </x:row>
    <x:row r="17" ht="15" hidden="0" customHeight="1">
      <x:c r="A17" s="83" t="str">
        <x:v>KPI-013</x:v>
      </x:c>
      <x:c r="B17" s="83" t="str">
        <x:v>Čakanje na naklad/razklad</x:v>
      </x:c>
      <x:c r="C17" s="83" t="str">
        <x:v>transport</x:v>
      </x:c>
      <x:c r="D17" s="83" t="str">
        <x:v>minute čakanja / postanek</x:v>
      </x:c>
      <x:c r="E17" s="83" t="str">
        <x:v>min</x:v>
      </x:c>
      <x:c r="F17" s="83" t="str">
        <x:v>tedensko</x:v>
      </x:c>
      <x:c r="G17" s="83" t="str">
        <x:v>ločiti brezplačno, zaračunano in izterjano</x:v>
      </x:c>
      <x:c r="H17" s="83" t="str">
        <x:v>expert synthesis</x:v>
      </x:c>
    </x:row>
    <x:row r="18" ht="15" hidden="0" customHeight="1">
      <x:c r="A18" s="85" t="str">
        <x:v>KPI-014</x:v>
      </x:c>
      <x:c r="B18" s="85" t="str">
        <x:v>Izkoriščenost nosilnosti</x:v>
      </x:c>
      <x:c r="C18" s="85" t="str">
        <x:v>transport</x:v>
      </x:c>
      <x:c r="D18" s="85" t="str">
        <x:v>dejanski tkm / razpoložljivi tkm</x:v>
      </x:c>
      <x:c r="E18" s="85" t="str">
        <x:v>%</x:v>
      </x:c>
      <x:c r="F18" s="85" t="str">
        <x:v>mesečno</x:v>
      </x:c>
      <x:c r="G18" s="85" t="str">
        <x:v>alternativa volumen/paletna mesta glede na omejitev</x:v>
      </x:c>
      <x:c r="H18" s="85" t="str">
        <x:v>SRC-005</x:v>
      </x:c>
    </x:row>
    <x:row r="19" ht="15" hidden="0" customHeight="1">
      <x:c r="A19" s="83" t="str">
        <x:v>KPI-015</x:v>
      </x:c>
      <x:c r="B19" s="83" t="str">
        <x:v>Natančnost ETA</x:v>
      </x:c>
      <x:c r="C19" s="83" t="str">
        <x:v>storitev</x:v>
      </x:c>
      <x:c r="D19" s="83" t="str">
        <x:v>dostave v toleranci napovedi / napovedane dostave</x:v>
      </x:c>
      <x:c r="E19" s="83" t="str">
        <x:v>%</x:v>
      </x:c>
      <x:c r="F19" s="83" t="str">
        <x:v>tedensko</x:v>
      </x:c>
      <x:c r="G19" s="83" t="str">
        <x:v>definirati toleranco in horizont</x:v>
      </x:c>
      <x:c r="H19" s="83" t="str">
        <x:v>expert synthesis</x:v>
      </x:c>
    </x:row>
    <x:row r="20" ht="15" hidden="0" customHeight="1">
      <x:c r="A20" s="85" t="str">
        <x:v>KPI-016</x:v>
      </x:c>
      <x:c r="B20" s="85" t="str">
        <x:v>Prvi uspešni poskus dostave</x:v>
      </x:c>
      <x:c r="C20" s="85" t="str">
        <x:v>last mile</x:v>
      </x:c>
      <x:c r="D20" s="85" t="str">
        <x:v>uspešne prve dostave / prvi poskusi</x:v>
      </x:c>
      <x:c r="E20" s="85" t="str">
        <x:v>%</x:v>
      </x:c>
      <x:c r="F20" s="85" t="str">
        <x:v>tedensko</x:v>
      </x:c>
      <x:c r="G20" s="85" t="str">
        <x:v>ločiti vzrok prejemnik/naslov/izvajalec</x:v>
      </x:c>
      <x:c r="H20" s="85" t="str">
        <x:v>expert synthesis</x:v>
      </x:c>
    </x:row>
    <x:row r="21" ht="15" hidden="0" customHeight="1">
      <x:c r="A21" s="83" t="str">
        <x:v>KPI-017</x:v>
      </x:c>
      <x:c r="B21" s="83" t="str">
        <x:v>Postanki na vozilo-uro</x:v>
      </x:c>
      <x:c r="C21" s="83" t="str">
        <x:v>last mile</x:v>
      </x:c>
      <x:c r="D21" s="83" t="str">
        <x:v>zaključeni postanki / vozilo-ure na terenu</x:v>
      </x:c>
      <x:c r="E21" s="83" t="str">
        <x:v>#</x:v>
      </x:c>
      <x:c r="F21" s="83" t="str">
        <x:v>dnevno</x:v>
      </x:c>
      <x:c r="G21" s="83" t="str">
        <x:v>segmentirati urbano/ruralno</x:v>
      </x:c>
      <x:c r="H21" s="83" t="str">
        <x:v>expert synthesis</x:v>
      </x:c>
    </x:row>
    <x:row r="22" ht="15" hidden="0" customHeight="1">
      <x:c r="A22" s="85" t="str">
        <x:v>KPI-018</x:v>
      </x:c>
      <x:c r="B22" s="85" t="str">
        <x:v>Dock-to-stock</x:v>
      </x:c>
      <x:c r="C22" s="85" t="str">
        <x:v>skladišče</x:v>
      </x:c>
      <x:c r="D22" s="85" t="str">
        <x:v>čas razpoložljive zaloge - prihod na rampo</x:v>
      </x:c>
      <x:c r="E22" s="85" t="str">
        <x:v>ure</x:v>
      </x:c>
      <x:c r="F22" s="85" t="str">
        <x:v>dnevno</x:v>
      </x:c>
      <x:c r="G22" s="85" t="str">
        <x:v>upoštevati karanteno/QC ločeno</x:v>
      </x:c>
      <x:c r="H22" s="85" t="str">
        <x:v>expert synthesis</x:v>
      </x:c>
    </x:row>
    <x:row r="23" ht="15" hidden="0" customHeight="1">
      <x:c r="A23" s="83" t="str">
        <x:v>KPI-019</x:v>
      </x:c>
      <x:c r="B23" s="83" t="str">
        <x:v>Vrstice komisioniranja na uro</x:v>
      </x:c>
      <x:c r="C23" s="83" t="str">
        <x:v>skladišče</x:v>
      </x:c>
      <x:c r="D23" s="83" t="str">
        <x:v>pravilno zbrane vrstice / neposredne delovne ure</x:v>
      </x:c>
      <x:c r="E23" s="83" t="str">
        <x:v>#/h</x:v>
      </x:c>
      <x:c r="F23" s="83" t="str">
        <x:v>izmena</x:v>
      </x:c>
      <x:c r="G23" s="83" t="str">
        <x:v>segmentirati tehnologijo in profil naročil</x:v>
      </x:c>
      <x:c r="H23" s="83" t="str">
        <x:v>expert synthesis</x:v>
      </x:c>
    </x:row>
    <x:row r="24" ht="15" hidden="0" customHeight="1">
      <x:c r="A24" s="85" t="str">
        <x:v>KPI-020</x:v>
      </x:c>
      <x:c r="B24" s="85" t="str">
        <x:v>Natančnost komisioniranja</x:v>
      </x:c>
      <x:c r="C24" s="85" t="str">
        <x:v>skladišče</x:v>
      </x:c>
      <x:c r="D24" s="85" t="str">
        <x:v>pravilne vrstice / vse zbrane vrstice</x:v>
      </x:c>
      <x:c r="E24" s="85" t="str">
        <x:v>%</x:v>
      </x:c>
      <x:c r="F24" s="85" t="str">
        <x:v>dnevno</x:v>
      </x:c>
      <x:c r="G24" s="85" t="str">
        <x:v>napaka na vrstico, ne le na naročilo</x:v>
      </x:c>
      <x:c r="H24" s="85" t="str">
        <x:v>expert synthesis</x:v>
      </x:c>
    </x:row>
    <x:row r="25" ht="15" hidden="0" customHeight="1">
      <x:c r="A25" s="83" t="str">
        <x:v>KPI-021</x:v>
      </x:c>
      <x:c r="B25" s="83" t="str">
        <x:v>Točnost zaloge</x:v>
      </x:c>
      <x:c r="C25" s="83" t="str">
        <x:v>skladišče</x:v>
      </x:c>
      <x:c r="D25" s="83" t="str">
        <x:v>pravilne lokacija-SKU enote / preverjene enote</x:v>
      </x:c>
      <x:c r="E25" s="83" t="str">
        <x:v>%</x:v>
      </x:c>
      <x:c r="F25" s="83" t="str">
        <x:v>ciklično</x:v>
      </x:c>
      <x:c r="G25" s="83" t="str">
        <x:v>zahteva določeno toleranco</x:v>
      </x:c>
      <x:c r="H25" s="83" t="str">
        <x:v>SRC-029; SRC-030</x:v>
      </x:c>
    </x:row>
    <x:row r="26" ht="15" hidden="0" customHeight="1">
      <x:c r="A26" s="85" t="str">
        <x:v>KPI-022</x:v>
      </x:c>
      <x:c r="B26" s="85" t="str">
        <x:v>Zasedenost skladišča</x:v>
      </x:c>
      <x:c r="C26" s="85" t="str">
        <x:v>skladišče</x:v>
      </x:c>
      <x:c r="D26" s="85" t="str">
        <x:v>zasedene uporabne lokacije / uporabne lokacije</x:v>
      </x:c>
      <x:c r="E26" s="85" t="str">
        <x:v>%</x:v>
      </x:c>
      <x:c r="F26" s="85" t="str">
        <x:v>dnevno</x:v>
      </x:c>
      <x:c r="G26" s="85" t="str">
        <x:v>ne uporabljati bruto m2 kot edini imenovalec</x:v>
      </x:c>
      <x:c r="H26" s="85" t="str">
        <x:v>expert synthesis</x:v>
      </x:c>
    </x:row>
    <x:row r="27" ht="15" hidden="0" customHeight="1">
      <x:c r="A27" s="83" t="str">
        <x:v>KPI-023</x:v>
      </x:c>
      <x:c r="B27" s="83" t="str">
        <x:v>Cost per order</x:v>
      </x:c>
      <x:c r="C27" s="83" t="str">
        <x:v>fulfillment</x:v>
      </x:c>
      <x:c r="D27" s="83" t="str">
        <x:v>vsi pripisani fulfillment stroški / odpremljena naročila</x:v>
      </x:c>
      <x:c r="E27" s="83" t="str">
        <x:v>EUR/naročilo</x:v>
      </x:c>
      <x:c r="F27" s="83" t="str">
        <x:v>mesečno</x:v>
      </x:c>
      <x:c r="G27" s="83" t="str">
        <x:v>ločiti profil naročila in vračila</x:v>
      </x:c>
      <x:c r="H27" s="83" t="str">
        <x:v>expert synthesis</x:v>
      </x:c>
    </x:row>
    <x:row r="28" ht="15" hidden="0" customHeight="1">
      <x:c r="A28" s="85" t="str">
        <x:v>KPI-024</x:v>
      </x:c>
      <x:c r="B28" s="85" t="str">
        <x:v>Cost per line</x:v>
      </x:c>
      <x:c r="C28" s="85" t="str">
        <x:v>fulfillment</x:v>
      </x:c>
      <x:c r="D28" s="85" t="str">
        <x:v>pripisani stroški / pravilno odpremljene vrstice</x:v>
      </x:c>
      <x:c r="E28" s="85" t="str">
        <x:v>EUR/vrstico</x:v>
      </x:c>
      <x:c r="F28" s="85" t="str">
        <x:v>mesečno</x:v>
      </x:c>
      <x:c r="G28" s="85" t="str">
        <x:v>primerljivo le ob podobnem profilu</x:v>
      </x:c>
      <x:c r="H28" s="85" t="str">
        <x:v>expert synthesis</x:v>
      </x:c>
    </x:row>
    <x:row r="29" ht="15" hidden="0" customHeight="1">
      <x:c r="A29" s="83" t="str">
        <x:v>KPI-025</x:v>
      </x:c>
      <x:c r="B29" s="83" t="str">
        <x:v>3PL capture rate</x:v>
      </x:c>
      <x:c r="C29" s="83" t="str">
        <x:v>3PL</x:v>
      </x:c>
      <x:c r="D29" s="83" t="str">
        <x:v>obračunani upravičeni dogodki / vsi upravičeni dogodki</x:v>
      </x:c>
      <x:c r="E29" s="83" t="str">
        <x:v>%</x:v>
      </x:c>
      <x:c r="F29" s="83" t="str">
        <x:v>mesečno</x:v>
      </x:c>
      <x:c r="G29" s="83" t="str">
        <x:v>zahteva pogodbeni katalog in dogodke</x:v>
      </x:c>
      <x:c r="H29" s="83" t="str">
        <x:v>expert synthesis</x:v>
      </x:c>
    </x:row>
    <x:row r="30" ht="15" hidden="0" customHeight="1">
      <x:c r="A30" s="85" t="str">
        <x:v>KPI-026</x:v>
      </x:c>
      <x:c r="B30" s="85" t="str">
        <x:v>Inventory days</x:v>
      </x:c>
      <x:c r="C30" s="85" t="str">
        <x:v>distribucija</x:v>
      </x:c>
      <x:c r="D30" s="85" t="str">
        <x:v>povprečna zaloga / COGS × dnevi</x:v>
      </x:c>
      <x:c r="E30" s="85" t="str">
        <x:v>dnevi</x:v>
      </x:c>
      <x:c r="F30" s="85" t="str">
        <x:v>mesečno</x:v>
      </x:c>
      <x:c r="G30" s="85" t="str">
        <x:v>uporabiti stroškovno vrednotenje</x:v>
      </x:c>
      <x:c r="H30" s="85" t="str">
        <x:v>expert synthesis</x:v>
      </x:c>
    </x:row>
    <x:row r="31" ht="15" hidden="0" customHeight="1">
      <x:c r="A31" s="83" t="str">
        <x:v>KPI-027</x:v>
      </x:c>
      <x:c r="B31" s="83" t="str">
        <x:v>Cash-to-cash</x:v>
      </x:c>
      <x:c r="C31" s="83" t="str">
        <x:v>distribucija</x:v>
      </x:c>
      <x:c r="D31" s="83" t="str">
        <x:v>DIO + DSO - DPO</x:v>
      </x:c>
      <x:c r="E31" s="83" t="str">
        <x:v>dnevi</x:v>
      </x:c>
      <x:c r="F31" s="83" t="str">
        <x:v>mesečno</x:v>
      </x:c>
      <x:c r="G31" s="83" t="str">
        <x:v>ne seštevati sprostitve zaloge z letnim dobičkom</x:v>
      </x:c>
      <x:c r="H31" s="83" t="str">
        <x:v>multi-source</x:v>
      </x:c>
    </x:row>
    <x:row r="32" ht="15" hidden="0" customHeight="1">
      <x:c r="A32" s="85" t="str">
        <x:v>KPI-028</x:v>
      </x:c>
      <x:c r="B32" s="85" t="str">
        <x:v>Vehicle uptime</x:v>
      </x:c>
      <x:c r="C32" s="85" t="str">
        <x:v>flota</x:v>
      </x:c>
      <x:c r="D32" s="85" t="str">
        <x:v>razpoložljive ure / planirane ure</x:v>
      </x:c>
      <x:c r="E32" s="85" t="str">
        <x:v>%</x:v>
      </x:c>
      <x:c r="F32" s="85" t="str">
        <x:v>tedensko</x:v>
      </x:c>
      <x:c r="G32" s="85" t="str">
        <x:v>definirati planirano razpoložljivost</x:v>
      </x:c>
      <x:c r="H32" s="85" t="str">
        <x:v>expert synthesis</x:v>
      </x:c>
    </x:row>
    <x:row r="33" ht="15" hidden="0" customHeight="1">
      <x:c r="A33" s="83" t="str">
        <x:v>KPI-029</x:v>
      </x:c>
      <x:c r="B33" s="83" t="str">
        <x:v>Neplanirani izpadi</x:v>
      </x:c>
      <x:c r="C33" s="83" t="str">
        <x:v>flota</x:v>
      </x:c>
      <x:c r="D33" s="83" t="str">
        <x:v>ure neplaniranega izpada / vozilo</x:v>
      </x:c>
      <x:c r="E33" s="83" t="str">
        <x:v>h/vozilo</x:v>
      </x:c>
      <x:c r="F33" s="83" t="str">
        <x:v>mesečno</x:v>
      </x:c>
      <x:c r="G33" s="83" t="str">
        <x:v>ločiti nesreče in vzdrževanje</x:v>
      </x:c>
      <x:c r="H33" s="83" t="str">
        <x:v>expert synthesis</x:v>
      </x:c>
    </x:row>
    <x:row r="34" ht="15" hidden="0" customHeight="1">
      <x:c r="A34" s="85" t="str">
        <x:v>KPI-030</x:v>
      </x:c>
      <x:c r="B34" s="85" t="str">
        <x:v>Poraba goriva</x:v>
      </x:c>
      <x:c r="C34" s="85" t="str">
        <x:v>flota</x:v>
      </x:c>
      <x:c r="D34" s="85" t="str">
        <x:v>litri / 100 km</x:v>
      </x:c>
      <x:c r="E34" s="85" t="str">
        <x:v>l/100km</x:v>
      </x:c>
      <x:c r="F34" s="85" t="str">
        <x:v>tedensko</x:v>
      </x:c>
      <x:c r="G34" s="85" t="str">
        <x:v>segmentirati vozilo, tovor, relacijo, sezono</x:v>
      </x:c>
      <x:c r="H34" s="85" t="str">
        <x:v>SRC-032</x:v>
      </x:c>
    </x:row>
    <x:row r="35" ht="15" hidden="0" customHeight="1">
      <x:c r="A35" s="83" t="str">
        <x:v>KPI-031</x:v>
      </x:c>
      <x:c r="B35" s="83" t="str">
        <x:v>Delež digitalno zajetih dogodkov</x:v>
      </x:c>
      <x:c r="C35" s="83" t="str">
        <x:v>digital</x:v>
      </x:c>
      <x:c r="D35" s="83" t="str">
        <x:v>dogodki brez naknadnega ročnega vnosa / vsi ključni dogodki</x:v>
      </x:c>
      <x:c r="E35" s="83" t="str">
        <x:v>%</x:v>
      </x:c>
      <x:c r="F35" s="83" t="str">
        <x:v>mesečno</x:v>
      </x:c>
      <x:c r="G35" s="83" t="str">
        <x:v>strukturiran dogodek, ne sken PDF</x:v>
      </x:c>
      <x:c r="H35" s="83" t="str">
        <x:v>SRC-029</x:v>
      </x:c>
    </x:row>
    <x:row r="36" ht="15" hidden="0" customHeight="1">
      <x:c r="A36" s="85" t="str">
        <x:v>KPI-032</x:v>
      </x:c>
      <x:c r="B36" s="85" t="str">
        <x:v>Integracijske napake</x:v>
      </x:c>
      <x:c r="C36" s="85" t="str">
        <x:v>IT</x:v>
      </x:c>
      <x:c r="D36" s="85" t="str">
        <x:v>neuspele/karantenske transakcije / vse transakcije</x:v>
      </x:c>
      <x:c r="E36" s="85" t="str">
        <x:v>%</x:v>
      </x:c>
      <x:c r="F36" s="85" t="str">
        <x:v>dnevno</x:v>
      </x:c>
      <x:c r="G36" s="85" t="str">
        <x:v>meriti tudi čas do razrešitve</x:v>
      </x:c>
      <x:c r="H36" s="85" t="str">
        <x:v>expert synthesis</x:v>
      </x:c>
    </x:row>
    <x:row r="37" ht="15" hidden="0" customHeight="1">
      <x:c r="A37" s="83" t="str">
        <x:v>KPI-033</x:v>
      </x:c>
      <x:c r="B37" s="83" t="str">
        <x:v>Čas priprave poročila</x:v>
      </x:c>
      <x:c r="C37" s="83" t="str">
        <x:v>vodstvo</x:v>
      </x:c>
      <x:c r="D37" s="83" t="str">
        <x:v>ure od konca obdobja do potrjenega poročila</x:v>
      </x:c>
      <x:c r="E37" s="83" t="str">
        <x:v>h/dni</x:v>
      </x:c>
      <x:c r="F37" s="83" t="str">
        <x:v>mesečno</x:v>
      </x:c>
      <x:c r="G37" s="83" t="str">
        <x:v>ločiti refresh od reconciliacije</x:v>
      </x:c>
      <x:c r="H37" s="83" t="str">
        <x:v>expert synthesis</x:v>
      </x:c>
    </x:row>
    <x:row r="38" ht="15" hidden="0" customHeight="1">
      <x:c r="A38" s="85" t="str">
        <x:v>KPI-034</x:v>
      </x:c>
      <x:c r="B38" s="85" t="str">
        <x:v>Stopnja reklamacij</x:v>
      </x:c>
      <x:c r="C38" s="85" t="str">
        <x:v>kakovost</x:v>
      </x:c>
      <x:c r="D38" s="85" t="str">
        <x:v>upravičene reklamacije / pošiljke</x:v>
      </x:c>
      <x:c r="E38" s="85" t="str">
        <x:v>%</x:v>
      </x:c>
      <x:c r="F38" s="85" t="str">
        <x:v>mesečno</x:v>
      </x:c>
      <x:c r="G38" s="85" t="str">
        <x:v>po vzroku in odgovornosti</x:v>
      </x:c>
      <x:c r="H38" s="85" t="str">
        <x:v>expert synthesis</x:v>
      </x:c>
    </x:row>
    <x:row r="39" ht="15" hidden="0" customHeight="1">
      <x:c r="A39" s="83" t="str">
        <x:v>KPI-035</x:v>
      </x:c>
      <x:c r="B39" s="83" t="str">
        <x:v>Neto strošek škod</x:v>
      </x:c>
      <x:c r="C39" s="83" t="str">
        <x:v>kakovost</x:v>
      </x:c>
      <x:c r="D39" s="83" t="str">
        <x:v>škode - povračila - regres</x:v>
      </x:c>
      <x:c r="E39" s="83" t="str">
        <x:v>EUR</x:v>
      </x:c>
      <x:c r="F39" s="83" t="str">
        <x:v>mesečno</x:v>
      </x:c>
      <x:c r="G39" s="83" t="str">
        <x:v>ne dvojno šteti procesnih ur</x:v>
      </x:c>
      <x:c r="H39" s="83" t="str">
        <x:v>expert synthesis</x:v>
      </x:c>
    </x:row>
    <x:row r="40">
      <x:c r="A40" s="86" t="str">
        <x:v>KPI-036</x:v>
      </x:c>
      <x:c r="B40" s="86" t="str">
        <x:v>CO2e na tkm</x:v>
      </x:c>
      <x:c r="C40" s="86" t="str">
        <x:v>trajnost</x:v>
      </x:c>
      <x:c r="D40" s="86" t="str">
        <x:v>well-to-wheel CO2e / tkm</x:v>
      </x:c>
      <x:c r="E40" s="86" t="str">
        <x:v>gCO2e/tkm</x:v>
      </x:c>
      <x:c r="F40" s="86" t="str">
        <x:v>mesečno</x:v>
      </x:c>
      <x:c r="G40" s="86" t="str">
        <x:v>meje in metodologija po ISO 14083</x:v>
      </x:c>
      <x:c r="H40" s="86" t="str">
        <x:v>SRC-027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5fd4e6e7603427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6" hidden="0" customWidth="1"/>
    <x:col min="3" max="3" width="16" hidden="0" customWidth="1"/>
    <x:col min="4" max="4" width="16" hidden="0" customWidth="1"/>
    <x:col min="5" max="5" width="14" hidden="0" customWidth="1"/>
    <x:col min="6" max="6" width="54" hidden="0" customWidth="1"/>
    <x:col min="7" max="7" width="16" hidden="0" customWidth="1"/>
    <x:col min="8" max="8" width="24" hidden="0" customWidth="1"/>
  </x:cols>
  <x:sheetData>
    <x:row r="1" ht="34" customHeight="1">
      <x:c r="A1" s="4" t="str">
        <x:v>Register benchmarkov</x:v>
      </x:c>
      <x:c r="B1" s="4"/>
      <x:c r="C1" s="4"/>
      <x:c r="D1" s="4"/>
      <x:c r="E1" s="4"/>
      <x:c r="F1" s="4"/>
      <x:c r="G1" s="4"/>
      <x:c r="H1" s="4"/>
    </x:row>
    <x:row r="2" ht="31" customHeight="1">
      <x:c r="A2" s="8" t="str">
        <x:v>Vrednosti so kontekst ali sanity check; nikoli samodejni odstotek prihranka.</x:v>
      </x:c>
      <x:c r="B2" s="8"/>
      <x:c r="C2" s="8"/>
      <x:c r="D2" s="8"/>
      <x:c r="E2" s="8"/>
      <x:c r="F2" s="8"/>
      <x:c r="G2" s="8"/>
      <x:c r="H2" s="8"/>
    </x:row>
    <x:row r="4" ht="15" hidden="0" customHeight="1">
      <x:c r="A4" s="74" t="str">
        <x:v>ID</x:v>
      </x:c>
      <x:c r="B4" s="74" t="str">
        <x:v>Kazalnik</x:v>
      </x:c>
      <x:c r="C4" s="74" t="str">
        <x:v>Vrednost</x:v>
      </x:c>
      <x:c r="D4" s="74" t="str">
        <x:v>Enota</x:v>
      </x:c>
      <x:c r="E4" s="74" t="str">
        <x:v>Obdobje</x:v>
      </x:c>
      <x:c r="F4" s="74" t="str">
        <x:v>Pravilna uporaba</x:v>
      </x:c>
      <x:c r="G4" s="74" t="str">
        <x:v>Razred</x:v>
      </x:c>
      <x:c r="H4" s="74" t="str">
        <x:v>Vir</x:v>
      </x:c>
    </x:row>
    <x:row r="5" ht="15" hidden="0" customHeight="1">
      <x:c r="A5" s="82" t="str">
        <x:v>BM-001</x:v>
      </x:c>
      <x:c r="B5" s="82" t="str">
        <x:v>Slovenija cestni prevoz: delež praznih km</x:v>
      </x:c>
      <x:c r="C5" s="87" t="n">
        <x:v>20</x:v>
      </x:c>
      <x:c r="D5" s="82" t="str">
        <x:v>%</x:v>
      </x:c>
      <x:c r="E5" s="82" t="str">
        <x:v>2025</x:v>
      </x:c>
      <x:c r="F5" s="82" t="str">
        <x:v>kontekst, ne odpravljiv potencial</x:v>
      </x:c>
      <x:c r="G5" s="82" t="str">
        <x:v>uradni</x:v>
      </x:c>
      <x:c r="H5" s="82" t="str">
        <x:v>SRC-001</x:v>
      </x:c>
    </x:row>
    <x:row r="6" ht="15" hidden="0" customHeight="1">
      <x:c r="A6" s="85" t="str">
        <x:v>BM-002</x:v>
      </x:c>
      <x:c r="B6" s="85" t="str">
        <x:v>EU cestni prevoz: delež praznih km</x:v>
      </x:c>
      <x:c r="C6" s="88" t="n">
        <x:v>21.6</x:v>
      </x:c>
      <x:c r="D6" s="85" t="str">
        <x:v>%</x:v>
      </x:c>
      <x:c r="E6" s="85" t="str">
        <x:v>2024</x:v>
      </x:c>
      <x:c r="F6" s="85" t="str">
        <x:v>vsa potovanja; domače 25,8 %, mednarodno 12,6 %</x:v>
      </x:c>
      <x:c r="G6" s="85" t="str">
        <x:v>uradni</x:v>
      </x:c>
      <x:c r="H6" s="85" t="str">
        <x:v>SRC-005</x:v>
      </x:c>
    </x:row>
    <x:row r="7" ht="15" hidden="0" customHeight="1">
      <x:c r="A7" s="83" t="str">
        <x:v>BM-003</x:v>
      </x:c>
      <x:c r="B7" s="83" t="str">
        <x:v>Slovenija cestni prevoz: masa</x:v>
      </x:c>
      <x:c r="C7" s="89" t="n">
        <x:v>97.3</x:v>
      </x:c>
      <x:c r="D7" s="83" t="str">
        <x:v>mio t</x:v>
      </x:c>
      <x:c r="E7" s="83" t="str">
        <x:v>2025</x:v>
      </x:c>
      <x:c r="F7" s="83" t="str">
        <x:v>vozila registrirana v Sloveniji</x:v>
      </x:c>
      <x:c r="G7" s="83" t="str">
        <x:v>uradni</x:v>
      </x:c>
      <x:c r="H7" s="83" t="str">
        <x:v>SRC-001</x:v>
      </x:c>
    </x:row>
    <x:row r="8" ht="15" hidden="0" customHeight="1">
      <x:c r="A8" s="85" t="str">
        <x:v>BM-004</x:v>
      </x:c>
      <x:c r="B8" s="85" t="str">
        <x:v>Slovenija cestni prevoz: transportno delo</x:v>
      </x:c>
      <x:c r="C8" s="88" t="n">
        <x:v>19.5082</x:v>
      </x:c>
      <x:c r="D8" s="85" t="str">
        <x:v>mrd tkm</x:v>
      </x:c>
      <x:c r="E8" s="85" t="str">
        <x:v>2025</x:v>
      </x:c>
      <x:c r="F8" s="85" t="str">
        <x:v>vozila registrirana v Sloveniji</x:v>
      </x:c>
      <x:c r="G8" s="85" t="str">
        <x:v>uradni</x:v>
      </x:c>
      <x:c r="H8" s="85" t="str">
        <x:v>SRC-001</x:v>
      </x:c>
    </x:row>
    <x:row r="9" ht="15" hidden="0" customHeight="1">
      <x:c r="A9" s="83" t="str">
        <x:v>BM-005</x:v>
      </x:c>
      <x:c r="B9" s="83" t="str">
        <x:v>Slovenija cestni prevoz: mednarodni delež tkm</x:v>
      </x:c>
      <x:c r="C9" s="89" t="n">
        <x:v>87</x:v>
      </x:c>
      <x:c r="D9" s="83" t="str">
        <x:v>%</x:v>
      </x:c>
      <x:c r="E9" s="83" t="str">
        <x:v>2025</x:v>
      </x:c>
      <x:c r="F9" s="83" t="str">
        <x:v>ni enako deležu prihodkov</x:v>
      </x:c>
      <x:c r="G9" s="83" t="str">
        <x:v>uradni</x:v>
      </x:c>
      <x:c r="H9" s="83" t="str">
        <x:v>SRC-001</x:v>
      </x:c>
    </x:row>
    <x:row r="10" ht="15" hidden="0" customHeight="1">
      <x:c r="A10" s="85" t="str">
        <x:v>BM-006</x:v>
      </x:c>
      <x:c r="B10" s="85" t="str">
        <x:v>Slovenija cestni prevoz: cross-trade delež tkm</x:v>
      </x:c>
      <x:c r="C10" s="88" t="n">
        <x:v>36</x:v>
      </x:c>
      <x:c r="D10" s="85" t="str">
        <x:v>%</x:v>
      </x:c>
      <x:c r="E10" s="85" t="str">
        <x:v>2025</x:v>
      </x:c>
      <x:c r="F10" s="85" t="str">
        <x:v>operacije med tujimi državami</x:v>
      </x:c>
      <x:c r="G10" s="85" t="str">
        <x:v>uradni</x:v>
      </x:c>
      <x:c r="H10" s="85" t="str">
        <x:v>SRC-001</x:v>
      </x:c>
    </x:row>
    <x:row r="11" ht="15" hidden="0" customHeight="1">
      <x:c r="A11" s="83" t="str">
        <x:v>BM-007</x:v>
      </x:c>
      <x:c r="B11" s="83" t="str">
        <x:v>EU povprečen tovor na naloženo vozilo</x:v>
      </x:c>
      <x:c r="C11" s="89" t="n">
        <x:v>14.3</x:v>
      </x:c>
      <x:c r="D11" s="83" t="str">
        <x:v>t</x:v>
      </x:c>
      <x:c r="E11" s="83" t="str">
        <x:v>2024</x:v>
      </x:c>
      <x:c r="F11" s="83" t="str">
        <x:v>ne predstavlja kapacitete ali cilja za posamezno podjetje</x:v>
      </x:c>
      <x:c r="G11" s="83" t="str">
        <x:v>uradni</x:v>
      </x:c>
      <x:c r="H11" s="83" t="str">
        <x:v>SRC-005</x:v>
      </x:c>
    </x:row>
    <x:row r="12" ht="15" hidden="0" customHeight="1">
      <x:c r="A12" s="85" t="str">
        <x:v>BM-008</x:v>
      </x:c>
      <x:c r="B12" s="85" t="str">
        <x:v>Slovenija povprečen domači tovor</x:v>
      </x:c>
      <x:c r="C12" s="88" t="n">
        <x:v>5.8</x:v>
      </x:c>
      <x:c r="D12" s="85" t="str">
        <x:v>t</x:v>
      </x:c>
      <x:c r="E12" s="85" t="str">
        <x:v>2024</x:v>
      </x:c>
      <x:c r="F12" s="85" t="str">
        <x:v>strukturno odvisno od blaga/relacije; ni prihranek</x:v>
      </x:c>
      <x:c r="G12" s="85" t="str">
        <x:v>uradni</x:v>
      </x:c>
      <x:c r="H12" s="85" t="str">
        <x:v>SRC-005</x:v>
      </x:c>
    </x:row>
    <x:row r="13" ht="15" hidden="0" customHeight="1">
      <x:c r="A13" s="83" t="str">
        <x:v>BM-009</x:v>
      </x:c>
      <x:c r="B13" s="83" t="str">
        <x:v>Slovenija železniški tovor</x:v>
      </x:c>
      <x:c r="C13" s="89" t="n">
        <x:v>17.254</x:v>
      </x:c>
      <x:c r="D13" s="83" t="str">
        <x:v>mio t</x:v>
      </x:c>
      <x:c r="E13" s="83" t="str">
        <x:v>2025</x:v>
      </x:c>
      <x:c r="F13" s="83" t="str">
        <x:v>87 % v mednarodnem prometu vključno s tranzitom</x:v>
      </x:c>
      <x:c r="G13" s="83" t="str">
        <x:v>uradni</x:v>
      </x:c>
      <x:c r="H13" s="83" t="str">
        <x:v>SRC-007</x:v>
      </x:c>
    </x:row>
    <x:row r="14" ht="15" hidden="0" customHeight="1">
      <x:c r="A14" s="85" t="str">
        <x:v>BM-010</x:v>
      </x:c>
      <x:c r="B14" s="85" t="str">
        <x:v>Slovenija železniško transportno delo</x:v>
      </x:c>
      <x:c r="C14" s="88" t="n">
        <x:v>4295.1</x:v>
      </x:c>
      <x:c r="D14" s="85" t="str">
        <x:v>mio tkm</x:v>
      </x:c>
      <x:c r="E14" s="85" t="str">
        <x:v>2025</x:v>
      </x:c>
      <x:c r="F14" s="85" t="str">
        <x:v>-6,0 % medletno</x:v>
      </x:c>
      <x:c r="G14" s="85" t="str">
        <x:v>uradni</x:v>
      </x:c>
      <x:c r="H14" s="85" t="str">
        <x:v>SRC-007</x:v>
      </x:c>
    </x:row>
    <x:row r="15" ht="15" hidden="0" customHeight="1">
      <x:c r="A15" s="83" t="str">
        <x:v>BM-011</x:v>
      </x:c>
      <x:c r="B15" s="83" t="str">
        <x:v>SKD H - podjetja</x:v>
      </x:c>
      <x:c r="C15" s="89" t="n">
        <x:v>9843</x:v>
      </x:c>
      <x:c r="D15" s="83" t="str">
        <x:v>#</x:v>
      </x:c>
      <x:c r="E15" s="83" t="str">
        <x:v>2024</x:v>
      </x:c>
      <x:c r="F15" s="83" t="str">
        <x:v>končna objava; SiStat velikostna tabela kaže 9.845</x:v>
      </x:c>
      <x:c r="G15" s="83" t="str">
        <x:v>uradni</x:v>
      </x:c>
      <x:c r="H15" s="83" t="str">
        <x:v>SRC-003; SRC-004</x:v>
      </x:c>
    </x:row>
    <x:row r="16" ht="15" hidden="0" customHeight="1">
      <x:c r="A16" s="85" t="str">
        <x:v>BM-012</x:v>
      </x:c>
      <x:c r="B16" s="85" t="str">
        <x:v>SKD H - zaposleni in samozaposleni</x:v>
      </x:c>
      <x:c r="C16" s="88" t="n">
        <x:v>56909</x:v>
      </x:c>
      <x:c r="D16" s="85" t="str">
        <x:v>#</x:v>
      </x:c>
      <x:c r="E16" s="85" t="str">
        <x:v>2024</x:v>
      </x:c>
      <x:c r="F16" s="85" t="str">
        <x:v>agregat H49-H53</x:v>
      </x:c>
      <x:c r="G16" s="85" t="str">
        <x:v>uradni</x:v>
      </x:c>
      <x:c r="H16" s="85" t="str">
        <x:v>SRC-003</x:v>
      </x:c>
    </x:row>
    <x:row r="17" ht="15" hidden="0" customHeight="1">
      <x:c r="A17" s="83" t="str">
        <x:v>BM-013</x:v>
      </x:c>
      <x:c r="B17" s="83" t="str">
        <x:v>SKD H - prihodek</x:v>
      </x:c>
      <x:c r="C17" s="89" t="n">
        <x:v>8760</x:v>
      </x:c>
      <x:c r="D17" s="83" t="str">
        <x:v>mio EUR</x:v>
      </x:c>
      <x:c r="E17" s="83" t="str">
        <x:v>2024</x:v>
      </x:c>
      <x:c r="F17" s="83" t="str">
        <x:v>agregat H; heterogena dejavnost</x:v>
      </x:c>
      <x:c r="G17" s="83" t="str">
        <x:v>uradni</x:v>
      </x:c>
      <x:c r="H17" s="83" t="str">
        <x:v>SRC-003</x:v>
      </x:c>
    </x:row>
    <x:row r="18" ht="15" hidden="0" customHeight="1">
      <x:c r="A18" s="85" t="str">
        <x:v>BM-014</x:v>
      </x:c>
      <x:c r="B18" s="85" t="str">
        <x:v>SKD H - dodana vrednost</x:v>
      </x:c>
      <x:c r="C18" s="88" t="n">
        <x:v>3122</x:v>
      </x:c>
      <x:c r="D18" s="85" t="str">
        <x:v>mio EUR</x:v>
      </x:c>
      <x:c r="E18" s="85" t="str">
        <x:v>2024</x:v>
      </x:c>
      <x:c r="F18" s="85" t="str">
        <x:v>agregat H</x:v>
      </x:c>
      <x:c r="G18" s="85" t="str">
        <x:v>uradni</x:v>
      </x:c>
      <x:c r="H18" s="85" t="str">
        <x:v>SRC-003</x:v>
      </x:c>
    </x:row>
    <x:row r="19" ht="15" hidden="0" customHeight="1">
      <x:c r="A19" s="83" t="str">
        <x:v>BM-015</x:v>
      </x:c>
      <x:c r="B19" s="83" t="str">
        <x:v>SKD H - bruto investicije</x:v>
      </x:c>
      <x:c r="C19" s="89" t="n">
        <x:v>876</x:v>
      </x:c>
      <x:c r="D19" s="83" t="str">
        <x:v>mio EUR</x:v>
      </x:c>
      <x:c r="E19" s="83" t="str">
        <x:v>2024</x:v>
      </x:c>
      <x:c r="F19" s="83" t="str">
        <x:v>agregat H; -11,2 % medletno</x:v>
      </x:c>
      <x:c r="G19" s="83" t="str">
        <x:v>uradni</x:v>
      </x:c>
      <x:c r="H19" s="83" t="str">
        <x:v>SRC-003</x:v>
      </x:c>
    </x:row>
    <x:row r="20" ht="15" hidden="0" customHeight="1">
      <x:c r="A20" s="85" t="str">
        <x:v>BM-016</x:v>
      </x:c>
      <x:c r="B20" s="85" t="str">
        <x:v>SKD H podjetja 10-49</x:v>
      </x:c>
      <x:c r="C20" s="88" t="n">
        <x:v>731</x:v>
      </x:c>
      <x:c r="D20" s="85" t="str">
        <x:v>#</x:v>
      </x:c>
      <x:c r="E20" s="85" t="str">
        <x:v>2024</x:v>
      </x:c>
      <x:c r="F20" s="85" t="str">
        <x:v>javni velikostni razred; ni enako cilju 20-49</x:v>
      </x:c>
      <x:c r="G20" s="85" t="str">
        <x:v>uradni</x:v>
      </x:c>
      <x:c r="H20" s="85" t="str">
        <x:v>SRC-004</x:v>
      </x:c>
    </x:row>
    <x:row r="21" ht="15" hidden="0" customHeight="1">
      <x:c r="A21" s="83" t="str">
        <x:v>BM-017</x:v>
      </x:c>
      <x:c r="B21" s="83" t="str">
        <x:v>SKD H podjetja 50-249</x:v>
      </x:c>
      <x:c r="C21" s="89" t="n">
        <x:v>103</x:v>
      </x:c>
      <x:c r="D21" s="83" t="str">
        <x:v>#</x:v>
      </x:c>
      <x:c r="E21" s="83" t="str">
        <x:v>2024</x:v>
      </x:c>
      <x:c r="F21" s="83" t="str">
        <x:v>v celoti znotraj ciljnega 20-500</x:v>
      </x:c>
      <x:c r="G21" s="83" t="str">
        <x:v>uradni</x:v>
      </x:c>
      <x:c r="H21" s="83" t="str">
        <x:v>SRC-004</x:v>
      </x:c>
    </x:row>
    <x:row r="22" ht="15" hidden="0" customHeight="1">
      <x:c r="A22" s="85" t="str">
        <x:v>BM-018</x:v>
      </x:c>
      <x:c r="B22" s="85" t="str">
        <x:v>SKD H podjetja 250+</x:v>
      </x:c>
      <x:c r="C22" s="88" t="n">
        <x:v>19</x:v>
      </x:c>
      <x:c r="D22" s="85" t="str">
        <x:v>#</x:v>
      </x:c>
      <x:c r="E22" s="85" t="str">
        <x:v>2024</x:v>
      </x:c>
      <x:c r="F22" s="85" t="str">
        <x:v>ni javnega izreza 250-500</x:v>
      </x:c>
      <x:c r="G22" s="85" t="str">
        <x:v>uradni</x:v>
      </x:c>
      <x:c r="H22" s="85" t="str">
        <x:v>SRC-004</x:v>
      </x:c>
    </x:row>
    <x:row r="23" ht="15" hidden="0" customHeight="1">
      <x:c r="A23" s="83" t="str">
        <x:v>BM-019</x:v>
      </x:c>
      <x:c r="B23" s="83" t="str">
        <x:v>Slovenski transport/skladiščenje: kupljen cloud ERP</x:v>
      </x:c>
      <x:c r="C23" s="89" t="n">
        <x:v>23</x:v>
      </x:c>
      <x:c r="D23" s="83" t="str">
        <x:v>%</x:v>
      </x:c>
      <x:c r="E23" s="83" t="str">
        <x:v>2024</x:v>
      </x:c>
      <x:c r="F23" s="83" t="str">
        <x:v>delež podjetij dejavnosti</x:v>
      </x:c>
      <x:c r="G23" s="83" t="str">
        <x:v>uradni</x:v>
      </x:c>
      <x:c r="H23" s="83" t="str">
        <x:v>SRC-009</x:v>
      </x:c>
    </x:row>
    <x:row r="24" ht="15" hidden="0" customHeight="1">
      <x:c r="A24" s="85" t="str">
        <x:v>BM-020</x:v>
      </x:c>
      <x:c r="B24" s="85" t="str">
        <x:v>Slovenski transport/skladiščenje: uporaba AI</x:v>
      </x:c>
      <x:c r="C24" s="88" t="n">
        <x:v>9</x:v>
      </x:c>
      <x:c r="D24" s="85" t="str">
        <x:v>%</x:v>
      </x:c>
      <x:c r="E24" s="85" t="str">
        <x:v>2024</x:v>
      </x:c>
      <x:c r="F24" s="85" t="str">
        <x:v>AI za logistiko le 2 % vseh podjetij</x:v>
      </x:c>
      <x:c r="G24" s="85" t="str">
        <x:v>uradni</x:v>
      </x:c>
      <x:c r="H24" s="85" t="str">
        <x:v>SRC-009</x:v>
      </x:c>
    </x:row>
    <x:row r="25" ht="15" hidden="0" customHeight="1">
      <x:c r="A25" s="83" t="str">
        <x:v>BM-021</x:v>
      </x:c>
      <x:c r="B25" s="83" t="str">
        <x:v>EU transport/skladiščenje: uporaba AI</x:v>
      </x:c>
      <x:c r="C25" s="89" t="n">
        <x:v>11.15</x:v>
      </x:c>
      <x:c r="D25" s="83" t="str">
        <x:v>%</x:v>
      </x:c>
      <x:c r="E25" s="83" t="str">
        <x:v>2025</x:v>
      </x:c>
      <x:c r="F25" s="83" t="str">
        <x:v>delež podjetij z 10+ zaposlenimi</x:v>
      </x:c>
      <x:c r="G25" s="83" t="str">
        <x:v>uradni</x:v>
      </x:c>
      <x:c r="H25" s="83" t="str">
        <x:v>SRC-010</x:v>
      </x:c>
    </x:row>
    <x:row r="26" ht="15" hidden="0" customHeight="1">
      <x:c r="A26" s="85" t="str">
        <x:v>BM-022</x:v>
      </x:c>
      <x:c r="B26" s="85" t="str">
        <x:v>EU transport/skladiščenje: advanced/intermediate cloud</x:v>
      </x:c>
      <x:c r="C26" s="88" t="n">
        <x:v>41</x:v>
      </x:c>
      <x:c r="D26" s="85" t="str">
        <x:v>%</x:v>
      </x:c>
      <x:c r="E26" s="85" t="str">
        <x:v>2025</x:v>
      </x:c>
      <x:c r="F26" s="85" t="str">
        <x:v>digitalna zrelost; ne učinkovitost procesa</x:v>
      </x:c>
      <x:c r="G26" s="85" t="str">
        <x:v>uradni</x:v>
      </x:c>
      <x:c r="H26" s="85" t="str">
        <x:v>SRC-011</x:v>
      </x:c>
    </x:row>
    <x:row r="27" ht="15" hidden="0" customHeight="1">
      <x:c r="A27" s="83" t="str">
        <x:v>BM-023</x:v>
      </x:c>
      <x:c r="B27" s="83" t="str">
        <x:v>Evropa: ocenjena vrzel voznikov</x:v>
      </x:c>
      <x:c r="C27" s="89" t="n">
        <x:v>502000</x:v>
      </x:c>
      <x:c r="D27" s="83" t="str">
        <x:v>#</x:v>
      </x:c>
      <x:c r="E27" s="83" t="str">
        <x:v>2025</x:v>
      </x:c>
      <x:c r="F27" s="83" t="str">
        <x:v>IRU poročilo; panogna ocena</x:v>
      </x:c>
      <x:c r="G27" s="83" t="str">
        <x:v>panogni</x:v>
      </x:c>
      <x:c r="H27" s="83" t="str">
        <x:v>SRC-013</x:v>
      </x:c>
    </x:row>
    <x:row r="28" ht="15" hidden="0" customHeight="1">
      <x:c r="A28" s="85" t="str">
        <x:v>BM-024</x:v>
      </x:c>
      <x:c r="B28" s="85" t="str">
        <x:v>Transport kot delež incidentov ENISA</x:v>
      </x:c>
      <x:c r="C28" s="88" t="n">
        <x:v>7.5</x:v>
      </x:c>
      <x:c r="D28" s="85" t="str">
        <x:v>%</x:v>
      </x:c>
      <x:c r="E28" s="85" t="str">
        <x:v>2025</x:v>
      </x:c>
      <x:c r="F28" s="85" t="str">
        <x:v>opazovani incidenti; ne verjetnost za podjetje</x:v>
      </x:c>
      <x:c r="G28" s="85" t="str">
        <x:v>uradni</x:v>
      </x:c>
      <x:c r="H28" s="85" t="str">
        <x:v>SRC-024</x:v>
      </x:c>
    </x:row>
    <x:row r="29" ht="15" hidden="0" customHeight="1">
      <x:c r="A29" s="84" t="str">
        <x:v>BM-025</x:v>
      </x:c>
      <x:c r="B29" s="84" t="str">
        <x:v>Podjetja z izzivi poznih plačil</x:v>
      </x:c>
      <x:c r="C29" s="90" t="n">
        <x:v>52</x:v>
      </x:c>
      <x:c r="D29" s="84" t="str">
        <x:v>%</x:v>
      </x:c>
      <x:c r="E29" s="84" t="str">
        <x:v>2024</x:v>
      </x:c>
      <x:c r="F29" s="84" t="str">
        <x:v>evropska podjetja v opazovanju</x:v>
      </x:c>
      <x:c r="G29" s="84" t="str">
        <x:v>uradni</x:v>
      </x:c>
      <x:c r="H29" s="84" t="str">
        <x:v>SRC-031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7b786514a454c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62" hidden="0" customWidth="1"/>
    <x:col min="4" max="4" width="20" hidden="0" customWidth="1"/>
    <x:col min="5" max="5" width="34" hidden="0" customWidth="1"/>
    <x:col min="6" max="6" width="50" hidden="0" customWidth="1"/>
  </x:cols>
  <x:sheetData>
    <x:row r="1" ht="34" customHeight="1">
      <x:c r="A1" s="4" t="str">
        <x:v>Finančni register</x:v>
      </x:c>
      <x:c r="B1" s="4"/>
      <x:c r="C1" s="4"/>
      <x:c r="D1" s="4"/>
      <x:c r="E1" s="4"/>
      <x:c r="F1" s="4"/>
    </x:row>
    <x:row r="2" ht="31" customHeight="1">
      <x:c r="A2" s="8" t="str">
        <x:v>Ločite cash cost-out, maržo, kapaciteto, obratni kapital, tveganje in intangible učinke.</x:v>
      </x:c>
      <x:c r="B2" s="8"/>
      <x:c r="C2" s="8"/>
      <x:c r="D2" s="8"/>
      <x:c r="E2" s="8"/>
      <x:c r="F2" s="8"/>
    </x:row>
    <x:row r="4" ht="15" hidden="0" customHeight="1">
      <x:c r="A4" s="74" t="str">
        <x:v>ID</x:v>
      </x:c>
      <x:c r="B4" s="74" t="str">
        <x:v>Naziv</x:v>
      </x:c>
      <x:c r="C4" s="74" t="str">
        <x:v>Formula</x:v>
      </x:c>
      <x:c r="D4" s="74" t="str">
        <x:v>Izhod</x:v>
      </x:c>
      <x:c r="E4" s="74" t="str">
        <x:v>Vhodi</x:v>
      </x:c>
      <x:c r="F4" s="74" t="str">
        <x:v>Opozorilo</x:v>
      </x:c>
    </x:row>
    <x:row r="5" ht="15" hidden="0" customHeight="1">
      <x:c r="A5" s="82" t="str">
        <x:v>F-001</x:v>
      </x:c>
      <x:c r="B5" s="82" t="str">
        <x:v>Letni strošek ročnega dela</x:v>
      </x:c>
      <x:c r="C5" s="82" t="str">
        <x:v>količina × min/enoto / 60 × polni strošek ure</x:v>
      </x:c>
      <x:c r="D5" s="82" t="str">
        <x:v>EUR/leto</x:v>
      </x:c>
      <x:c r="E5" s="82" t="str">
        <x:v>min/enoto; količina; EUR/h</x:v>
      </x:c>
      <x:c r="F5" s="82" t="str">
        <x:v>ločiti sprostljivo kapaciteto in dejanski cash saving</x:v>
      </x:c>
    </x:row>
    <x:row r="6" ht="15" hidden="0" customHeight="1">
      <x:c r="A6" s="85" t="str">
        <x:v>F-002</x:v>
      </x:c>
      <x:c r="B6" s="85" t="str">
        <x:v>Strošek praznih km</x:v>
      </x:c>
      <x:c r="C6" s="85" t="str">
        <x:v>prazni km × relevantni variabilni strošek/km</x:v>
      </x:c>
      <x:c r="D6" s="85" t="str">
        <x:v>EUR/leto</x:v>
      </x:c>
      <x:c r="E6" s="85" t="str">
        <x:v>km; EUR/km</x:v>
      </x:c>
      <x:c r="F6" s="85" t="str">
        <x:v>ne uporabiti polnega stroška, če fiksni stroški ostanejo</x:v>
      </x:c>
    </x:row>
    <x:row r="7" ht="15" hidden="0" customHeight="1">
      <x:c r="A7" s="83" t="str">
        <x:v>F-003</x:v>
      </x:c>
      <x:c r="B7" s="83" t="str">
        <x:v>Odpravljiv strošek praznih km</x:v>
      </x:c>
      <x:c r="C7" s="83" t="str">
        <x:v>F-002 × tehnični potencial × pokritost × sprejetje × realizacija</x:v>
      </x:c>
      <x:c r="D7" s="83" t="str">
        <x:v>EUR/leto</x:v>
      </x:c>
      <x:c r="E7" s="83" t="str">
        <x:v>pet faktorjev</x:v>
      </x:c>
      <x:c r="F7" s="83" t="str">
        <x:v>prazni km niso v celoti odpravljivi</x:v>
      </x:c>
    </x:row>
    <x:row r="8" ht="15" hidden="0" customHeight="1">
      <x:c r="A8" s="85" t="str">
        <x:v>F-004</x:v>
      </x:c>
      <x:c r="B8" s="85" t="str">
        <x:v>Strošek čakanja</x:v>
      </x:c>
      <x:c r="C8" s="85" t="str">
        <x:v>ure × (neto strošek voznika/h + relevantni vozilo-strošek/h) - zaračunano in izterjano</x:v>
      </x:c>
      <x:c r="D8" s="85" t="str">
        <x:v>EUR/leto</x:v>
      </x:c>
      <x:c r="E8" s="85" t="str">
        <x:v>h; EUR/h; EUR</x:v>
      </x:c>
      <x:c r="F8" s="85" t="str">
        <x:v>ločiti oportunitetni in neposredni strošek</x:v>
      </x:c>
    </x:row>
    <x:row r="9" ht="15" hidden="0" customHeight="1">
      <x:c r="A9" s="83" t="str">
        <x:v>F-005</x:v>
      </x:c>
      <x:c r="B9" s="83" t="str">
        <x:v>Billing leakage</x:v>
      </x:c>
      <x:c r="C9" s="83" t="str">
        <x:v>upravičeni neobračunani dodatki + napačne tarife - pozneje izterjano</x:v>
      </x:c>
      <x:c r="D9" s="83" t="str">
        <x:v>EUR/leto</x:v>
      </x:c>
      <x:c r="E9" s="83" t="str">
        <x:v>EUR</x:v>
      </x:c>
      <x:c r="F9" s="83" t="str">
        <x:v>zahteva audit vzorec</x:v>
      </x:c>
    </x:row>
    <x:row r="10" ht="15" hidden="0" customHeight="1">
      <x:c r="A10" s="85" t="str">
        <x:v>F-006</x:v>
      </x:c>
      <x:c r="B10" s="85" t="str">
        <x:v>POD zamik - obratni kapital</x:v>
      </x:c>
      <x:c r="C10" s="85" t="str">
        <x:v>letni kreditni prihodek × zmanjšanje dni / 365</x:v>
      </x:c>
      <x:c r="D10" s="85" t="str">
        <x:v>EUR sprostitve</x:v>
      </x:c>
      <x:c r="E10" s="85" t="str">
        <x:v>EUR/leto; dnevi</x:v>
      </x:c>
      <x:c r="F10" s="85" t="str">
        <x:v>ni letni dobiček</x:v>
      </x:c>
    </x:row>
    <x:row r="11" ht="15" hidden="0" customHeight="1">
      <x:c r="A11" s="83" t="str">
        <x:v>F-007</x:v>
      </x:c>
      <x:c r="B11" s="83" t="str">
        <x:v>Letni finančni učinek sprostitve terjatev</x:v>
      </x:c>
      <x:c r="C11" s="83" t="str">
        <x:v>F-006 × mejni strošek kapitala</x:v>
      </x:c>
      <x:c r="D11" s="83" t="str">
        <x:v>EUR/leto</x:v>
      </x:c>
      <x:c r="E11" s="83" t="str">
        <x:v>EUR; %</x:v>
      </x:c>
      <x:c r="F11" s="83" t="str">
        <x:v>ne prišteti celotne sprostitve k letni koristi</x:v>
      </x:c>
    </x:row>
    <x:row r="12" ht="15" hidden="0" customHeight="1">
      <x:c r="A12" s="85" t="str">
        <x:v>F-008</x:v>
      </x:c>
      <x:c r="B12" s="85" t="str">
        <x:v>Sprostitev zaloge</x:v>
      </x:c>
      <x:c r="C12" s="85" t="str">
        <x:v>povprečna zaloga × realno zmanjšanje %</x:v>
      </x:c>
      <x:c r="D12" s="85" t="str">
        <x:v>EUR sprostitve</x:v>
      </x:c>
      <x:c r="E12" s="85" t="str">
        <x:v>EUR; %</x:v>
      </x:c>
      <x:c r="F12" s="85" t="str">
        <x:v>samo lastnik zaloge</x:v>
      </x:c>
    </x:row>
    <x:row r="13" ht="15" hidden="0" customHeight="1">
      <x:c r="A13" s="83" t="str">
        <x:v>F-009</x:v>
      </x:c>
      <x:c r="B13" s="83" t="str">
        <x:v>Letni carrying-cost prihranek</x:v>
      </x:c>
      <x:c r="C13" s="83" t="str">
        <x:v>F-008 × stopnja financiranja in držanja</x:v>
      </x:c>
      <x:c r="D13" s="83" t="str">
        <x:v>EUR/leto</x:v>
      </x:c>
      <x:c r="E13" s="83" t="str">
        <x:v>EUR; %</x:v>
      </x:c>
      <x:c r="F13" s="83" t="str">
        <x:v>stopnja mora imeti dokumentirane komponente</x:v>
      </x:c>
    </x:row>
    <x:row r="14" ht="15" hidden="0" customHeight="1">
      <x:c r="A14" s="85" t="str">
        <x:v>F-010</x:v>
      </x:c>
      <x:c r="B14" s="85" t="str">
        <x:v>Neto strošek škode</x:v>
      </x:c>
      <x:c r="C14" s="85" t="str">
        <x:v>bruto škoda + procesni stroški - zavarovanje - regres - dobropisi dobaviteljev</x:v>
      </x:c>
      <x:c r="D14" s="85" t="str">
        <x:v>EUR/leto</x:v>
      </x:c>
      <x:c r="E14" s="85" t="str">
        <x:v>EUR</x:v>
      </x:c>
      <x:c r="F14" s="85" t="str">
        <x:v>procesne ure naj ne bodo vključene še v F-001</x:v>
      </x:c>
    </x:row>
    <x:row r="15" ht="15" hidden="0" customHeight="1">
      <x:c r="A15" s="83" t="str">
        <x:v>F-011</x:v>
      </x:c>
      <x:c r="B15" s="83" t="str">
        <x:v>3PL revenue capture</x:v>
      </x:c>
      <x:c r="C15" s="83" t="str">
        <x:v>upravičeni dogodki × tarifa - že obračunano</x:v>
      </x:c>
      <x:c r="D15" s="83" t="str">
        <x:v>EUR/leto</x:v>
      </x:c>
      <x:c r="E15" s="83" t="str">
        <x:v>dogodki; EUR/dogodek</x:v>
      </x:c>
      <x:c r="F15" s="83" t="str">
        <x:v>omejiti na pogodbeno upravičene dogodke</x:v>
      </x:c>
    </x:row>
    <x:row r="16" ht="15" hidden="0" customHeight="1">
      <x:c r="A16" s="85" t="str">
        <x:v>F-012</x:v>
      </x:c>
      <x:c r="B16" s="85" t="str">
        <x:v>Povečanje pretoka</x:v>
      </x:c>
      <x:c r="C16" s="85" t="str">
        <x:v>dodatne pravilne enote × prispevek/enoto</x:v>
      </x:c>
      <x:c r="D16" s="85" t="str">
        <x:v>EUR/leto</x:v>
      </x:c>
      <x:c r="E16" s="85" t="str">
        <x:v>enote; EUR/enoto</x:v>
      </x:c>
      <x:c r="F16" s="85" t="str">
        <x:v>uporabiti le ob dokazljivem povpraševanju/kapacitetni omejitvi</x:v>
      </x:c>
    </x:row>
    <x:row r="17" ht="15" hidden="0" customHeight="1">
      <x:c r="A17" s="83" t="str">
        <x:v>F-013</x:v>
      </x:c>
      <x:c r="B17" s="83" t="str">
        <x:v>Prihranek nujnih prevozov</x:v>
      </x:c>
      <x:c r="C17" s="83" t="str">
        <x:v>(premija nad standardom) × zmanjšano število</x:v>
      </x:c>
      <x:c r="D17" s="83" t="str">
        <x:v>EUR/leto</x:v>
      </x:c>
      <x:c r="E17" s="83" t="str">
        <x:v>EUR; #</x:v>
      </x:c>
      <x:c r="F17" s="83" t="str">
        <x:v>ne celoten strošek nujnega prevoza</x:v>
      </x:c>
    </x:row>
    <x:row r="18" ht="15" hidden="0" customHeight="1">
      <x:c r="A18" s="85" t="str">
        <x:v>F-014</x:v>
      </x:c>
      <x:c r="B18" s="85" t="str">
        <x:v>Prihranek spot nabave</x:v>
      </x:c>
      <x:c r="C18" s="85" t="str">
        <x:v>primerljive nabave × dokazano zmanjšanje premije</x:v>
      </x:c>
      <x:c r="D18" s="85" t="str">
        <x:v>EUR/leto</x:v>
      </x:c>
      <x:c r="E18" s="85" t="str">
        <x:v>#; EUR</x:v>
      </x:c>
      <x:c r="F18" s="85" t="str">
        <x:v>kontrolirati trg, relacijo in opremo</x:v>
      </x:c>
    </x:row>
    <x:row r="19" ht="15" hidden="0" customHeight="1">
      <x:c r="A19" s="83" t="str">
        <x:v>F-015</x:v>
      </x:c>
      <x:c r="B19" s="83" t="str">
        <x:v>Časovna korist</x:v>
      </x:c>
      <x:c r="C19" s="83" t="str">
        <x:v>sproščene ure × realizacijski faktor × strošek/h</x:v>
      </x:c>
      <x:c r="D19" s="83" t="str">
        <x:v>EUR/leto</x:v>
      </x:c>
      <x:c r="E19" s="83" t="str">
        <x:v>h; %; EUR/h</x:v>
      </x:c>
      <x:c r="F19" s="83" t="str">
        <x:v>realizacija 0 %, če ni spremembe kapacitete/stroška</x:v>
      </x:c>
    </x:row>
    <x:row r="20" ht="15" hidden="0" customHeight="1">
      <x:c r="A20" s="85" t="str">
        <x:v>F-016</x:v>
      </x:c>
      <x:c r="B20" s="85" t="str">
        <x:v>Bruto letna korist</x:v>
      </x:c>
      <x:c r="C20" s="85" t="str">
        <x:v>vsota medsebojno izključujočih realiziranih koristi</x:v>
      </x:c>
      <x:c r="D20" s="85" t="str">
        <x:v>EUR/leto</x:v>
      </x:c>
      <x:c r="E20" s="85" t="str">
        <x:v>koristi</x:v>
      </x:c>
      <x:c r="F20" s="85" t="str">
        <x:v>uporabiti register dvojnega štetja</x:v>
      </x:c>
    </x:row>
    <x:row r="21" ht="15" hidden="0" customHeight="1">
      <x:c r="A21" s="83" t="str">
        <x:v>F-017</x:v>
      </x:c>
      <x:c r="B21" s="83" t="str">
        <x:v>Letni neto učinek</x:v>
      </x:c>
      <x:c r="C21" s="83" t="str">
        <x:v>bruto korist - tekoči TCO - dodatni operativni stroški</x:v>
      </x:c>
      <x:c r="D21" s="83" t="str">
        <x:v>EUR/leto</x:v>
      </x:c>
      <x:c r="E21" s="83" t="str">
        <x:v>EUR</x:v>
      </x:c>
      <x:c r="F21" s="83" t="str">
        <x:v>ne vključiti začetnega CAPEX v vsako leto</x:v>
      </x:c>
    </x:row>
    <x:row r="22" ht="15" hidden="0" customHeight="1">
      <x:c r="A22" s="85" t="str">
        <x:v>F-018</x:v>
      </x:c>
      <x:c r="B22" s="85" t="str">
        <x:v>Začetna investicija</x:v>
      </x:c>
      <x:c r="C22" s="85" t="str">
        <x:v>licence + implementacija + integracije + oprema + migracija + usposabljanje + notranje ure</x:v>
      </x:c>
      <x:c r="D22" s="85" t="str">
        <x:v>EUR</x:v>
      </x:c>
      <x:c r="E22" s="85" t="str">
        <x:v>EUR</x:v>
      </x:c>
      <x:c r="F22" s="85" t="str">
        <x:v>vključiti kontingenčni dodatek</x:v>
      </x:c>
    </x:row>
    <x:row r="23" ht="15" hidden="0" customHeight="1">
      <x:c r="A23" s="83" t="str">
        <x:v>F-019</x:v>
      </x:c>
      <x:c r="B23" s="83" t="str">
        <x:v>Payback</x:v>
      </x:c>
      <x:c r="C23" s="83" t="str">
        <x:v>začetna investicija / stabilizirani letni neto učinek × 12</x:v>
      </x:c>
      <x:c r="D23" s="83" t="str">
        <x:v>mesecev</x:v>
      </x:c>
      <x:c r="E23" s="83" t="str">
        <x:v>EUR; EUR/leto</x:v>
      </x:c>
      <x:c r="F23" s="83" t="str">
        <x:v>za fazni ramp-up uporabiti kumulativni cash flow</x:v>
      </x:c>
    </x:row>
    <x:row r="24" ht="15" hidden="0" customHeight="1">
      <x:c r="A24" s="85" t="str">
        <x:v>F-020</x:v>
      </x:c>
      <x:c r="B24" s="85" t="str">
        <x:v>Enostavni ROI 3 leta</x:v>
      </x:c>
      <x:c r="C24" s="85" t="str">
        <x:v>(3-letne koristi - 3-letni TCO) / 3-letni TCO</x:v>
      </x:c>
      <x:c r="D24" s="85" t="str">
        <x:v>%</x:v>
      </x:c>
      <x:c r="E24" s="85" t="str">
        <x:v>EUR</x:v>
      </x:c>
      <x:c r="F24" s="85" t="str">
        <x:v>ločiti od NPV</x:v>
      </x:c>
    </x:row>
    <x:row r="25" ht="15" hidden="0" customHeight="1">
      <x:c r="A25" s="83" t="str">
        <x:v>F-021</x:v>
      </x:c>
      <x:c r="B25" s="83" t="str">
        <x:v>NPV</x:v>
      </x:c>
      <x:c r="C25" s="83" t="str">
        <x:v>vsota neto denarnih tokov_t / (1+r)^t</x:v>
      </x:c>
      <x:c r="D25" s="83" t="str">
        <x:v>EUR</x:v>
      </x:c>
      <x:c r="E25" s="83" t="str">
        <x:v>cash flow; diskontna mera</x:v>
      </x:c>
      <x:c r="F25" s="83" t="str">
        <x:v>vključi leto 0</x:v>
      </x:c>
    </x:row>
    <x:row r="26" ht="15" hidden="0" customHeight="1">
      <x:c r="A26" s="85" t="str">
        <x:v>F-022</x:v>
      </x:c>
      <x:c r="B26" s="85" t="str">
        <x:v>IRR</x:v>
      </x:c>
      <x:c r="C26" s="85" t="str">
        <x:v>diskontna mera, pri kateri je NPV=0</x:v>
      </x:c>
      <x:c r="D26" s="85" t="str">
        <x:v>%</x:v>
      </x:c>
      <x:c r="E26" s="85" t="str">
        <x:v>cash flow</x:v>
      </x:c>
      <x:c r="F26" s="85" t="str">
        <x:v>poročati le ob smiselni spremembi predznaka</x:v>
      </x:c>
    </x:row>
    <x:row r="27" ht="15" hidden="0" customHeight="1">
      <x:c r="A27" s="83" t="str">
        <x:v>F-023</x:v>
      </x:c>
      <x:c r="B27" s="83" t="str">
        <x:v>Benefit realization</x:v>
      </x:c>
      <x:c r="C27" s="83" t="str">
        <x:v>trenutna izguba × tehnični potencial × pokritost × sprejetje × realizacija</x:v>
      </x:c>
      <x:c r="D27" s="83" t="str">
        <x:v>EUR/leto</x:v>
      </x:c>
      <x:c r="E27" s="83" t="str">
        <x:v>EUR; 4 × %</x:v>
      </x:c>
      <x:c r="F27" s="83" t="str">
        <x:v>osnovni mehanizem konservativne ocene</x:v>
      </x:c>
    </x:row>
    <x:row r="28" ht="15" hidden="0" customHeight="1">
      <x:c r="A28" s="85" t="str">
        <x:v>F-024</x:v>
      </x:c>
      <x:c r="B28" s="85" t="str">
        <x:v>P10/P50/P90 scenarij</x:v>
      </x:c>
      <x:c r="C28" s="85" t="str">
        <x:v>isti model z nizkimi/srednjimi/visokimi vhodnimi faktorji</x:v>
      </x:c>
      <x:c r="D28" s="85" t="str">
        <x:v>EUR</x:v>
      </x:c>
      <x:c r="E28" s="85" t="str">
        <x:v>razponi</x:v>
      </x:c>
      <x:c r="F28" s="85" t="str">
        <x:v>ne prikazovati P90 kot obljubo</x:v>
      </x:c>
    </x:row>
    <x:row r="29" ht="15" hidden="0" customHeight="1">
      <x:c r="A29" s="84" t="str">
        <x:v>F-025</x:v>
      </x:c>
      <x:c r="B29" s="84" t="str">
        <x:v>Ocena kakovosti podatka</x:v>
      </x:c>
      <x:c r="C29" s="84" t="str">
        <x:v>vir × aktualnost × sledljivost × vzorec</x:v>
      </x:c>
      <x:c r="D29" s="84" t="str">
        <x:v>0-100</x:v>
      </x:c>
      <x:c r="E29" s="84" t="str">
        <x:v>ocene</x:v>
      </x:c>
      <x:c r="F29" s="84" t="str">
        <x:v>kvalitativni score, ne statistična gotovost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f838af54de446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34" hidden="0" customWidth="1"/>
    <x:col min="4" max="4" width="68" hidden="0" customWidth="1"/>
  </x:cols>
  <x:sheetData>
    <x:row r="1" ht="34" customHeight="1">
      <x:c r="A1" s="4" t="str">
        <x:v>Kontrole dvojnega štetja</x:v>
      </x:c>
      <x:c r="B1" s="4"/>
      <x:c r="C1" s="4"/>
      <x:c r="D1" s="4"/>
    </x:row>
    <x:row r="2" ht="31" customHeight="1">
      <x:c r="A2" s="8" t="str">
        <x:v>Vsaka korist ima en primarni benefit line in finančnega lastnika.</x:v>
      </x:c>
      <x:c r="B2" s="8"/>
      <x:c r="C2" s="8"/>
      <x:c r="D2" s="8"/>
    </x:row>
    <x:row r="4" ht="15" hidden="0" customHeight="1">
      <x:c r="A4" s="74" t="str">
        <x:v>ID</x:v>
      </x:c>
      <x:c r="B4" s="74" t="str">
        <x:v>Korist A</x:v>
      </x:c>
      <x:c r="C4" s="74" t="str">
        <x:v>Korist B</x:v>
      </x:c>
      <x:c r="D4" s="74" t="str">
        <x:v>Pravilo</x:v>
      </x:c>
    </x:row>
    <x:row r="5" ht="15" hidden="0" customHeight="1">
      <x:c r="A5" s="82" t="str">
        <x:v>DC-01</x:v>
      </x:c>
      <x:c r="B5" s="82" t="str">
        <x:v>Ročne ure reklamacij</x:v>
      </x:c>
      <x:c r="C5" s="82" t="str">
        <x:v>Neto strošek škode</x:v>
      </x:c>
      <x:c r="D5" s="82" t="str">
        <x:v>Izberi: procesne ure v F-001 ali znotraj F-010, nikoli oboje</x:v>
      </x:c>
    </x:row>
    <x:row r="6" ht="15" hidden="0" customHeight="1">
      <x:c r="A6" s="85" t="str">
        <x:v>DC-02</x:v>
      </x:c>
      <x:c r="B6" s="85" t="str">
        <x:v>Strošek praznih km</x:v>
      </x:c>
      <x:c r="C6" s="85" t="str">
        <x:v>Dodatni prihodek iz nove kapacitete</x:v>
      </x:c>
      <x:c r="D6" s="85" t="str">
        <x:v>Osnovni scenarij uporabi strošek ali prispevek; oba le ob dokazano različnih km</x:v>
      </x:c>
    </x:row>
    <x:row r="7" ht="15" hidden="0" customHeight="1">
      <x:c r="A7" s="83" t="str">
        <x:v>DC-03</x:v>
      </x:c>
      <x:c r="B7" s="83" t="str">
        <x:v>Sprostitev zaloge</x:v>
      </x:c>
      <x:c r="C7" s="83" t="str">
        <x:v>Letni carrying-cost prihranek</x:v>
      </x:c>
      <x:c r="D7" s="83" t="str">
        <x:v>Prvo je enkratni cash-flow, drugo letna korist</x:v>
      </x:c>
    </x:row>
    <x:row r="8" ht="15" hidden="0" customHeight="1">
      <x:c r="A8" s="85" t="str">
        <x:v>DC-04</x:v>
      </x:c>
      <x:c r="B8" s="85" t="str">
        <x:v>Sprostitev terjatev</x:v>
      </x:c>
      <x:c r="C8" s="85" t="str">
        <x:v>Znižanje DSO - letna korist</x:v>
      </x:c>
      <x:c r="D8" s="85" t="str">
        <x:v>Kapital je enkratni učinek; letni učinek je strošek kapitala</x:v>
      </x:c>
    </x:row>
    <x:row r="9" ht="15" hidden="0" customHeight="1">
      <x:c r="A9" s="83" t="str">
        <x:v>DC-05</x:v>
      </x:c>
      <x:c r="B9" s="83" t="str">
        <x:v>Čas disponenta</x:v>
      </x:c>
      <x:c r="C9" s="83" t="str">
        <x:v>Več obdelanih nalogov</x:v>
      </x:c>
      <x:c r="D9" s="83" t="str">
        <x:v>Ure vrednoti kot strošek ali kot prispevek dodatnega volumna</x:v>
      </x:c>
    </x:row>
    <x:row r="10" ht="15" hidden="0" customHeight="1">
      <x:c r="A10" s="85" t="str">
        <x:v>DC-06</x:v>
      </x:c>
      <x:c r="B10" s="85" t="str">
        <x:v>Strošek nujnega prevoza</x:v>
      </x:c>
      <x:c r="C10" s="85" t="str">
        <x:v>Spot premija</x:v>
      </x:c>
      <x:c r="D10" s="85" t="str">
        <x:v>Prihranek je premija nad standardom, ne celoten prevoz</x:v>
      </x:c>
    </x:row>
    <x:row r="11" ht="15" hidden="0" customHeight="1">
      <x:c r="A11" s="83" t="str">
        <x:v>DC-07</x:v>
      </x:c>
      <x:c r="B11" s="83" t="str">
        <x:v>Neobračunan dodatek</x:v>
      </x:c>
      <x:c r="C11" s="83" t="str">
        <x:v>Bruto marža izboljšave</x:v>
      </x:c>
      <x:c r="D11" s="83" t="str">
        <x:v>Isti prihodek naj bo v enem benefit line-u</x:v>
      </x:c>
    </x:row>
    <x:row r="12" ht="15" hidden="0" customHeight="1">
      <x:c r="A12" s="85" t="str">
        <x:v>DC-08</x:v>
      </x:c>
      <x:c r="B12" s="85" t="str">
        <x:v>Točnost zaloge</x:v>
      </x:c>
      <x:c r="C12" s="85" t="str">
        <x:v>Zmanjšanje inventurnih razlik</x:v>
      </x:c>
      <x:c r="D12" s="85" t="str">
        <x:v>Ne seštevaj ocenjene vrednosti iste izgube iz dveh metod</x:v>
      </x:c>
    </x:row>
    <x:row r="13" ht="15" hidden="0" customHeight="1">
      <x:c r="A13" s="83" t="str">
        <x:v>DC-09</x:v>
      </x:c>
      <x:c r="B13" s="83" t="str">
        <x:v>Nadure</x:v>
      </x:c>
      <x:c r="C13" s="83" t="str">
        <x:v>Sproščene redne ure</x:v>
      </x:c>
      <x:c r="D13" s="83" t="str">
        <x:v>Uporabi dejansko zmanjšane nadure pred teoretično vrednostjo vseh ur</x:v>
      </x:c>
    </x:row>
    <x:row r="14" ht="15" hidden="0" customHeight="1">
      <x:c r="A14" s="85" t="str">
        <x:v>DC-10</x:v>
      </x:c>
      <x:c r="B14" s="85" t="str">
        <x:v>Manj reklamacij</x:v>
      </x:c>
      <x:c r="C14" s="85" t="str">
        <x:v>Višji customer-service NPS/prihodek</x:v>
      </x:c>
      <x:c r="D14" s="85" t="str">
        <x:v>Trdi benefit in rast prihodka loči v scenarije</x:v>
      </x:c>
    </x:row>
    <x:row r="15" ht="15" hidden="0" customHeight="1">
      <x:c r="A15" s="83" t="str">
        <x:v>DC-11</x:v>
      </x:c>
      <x:c r="B15" s="83" t="str">
        <x:v>Nižji TCO aplikacij</x:v>
      </x:c>
      <x:c r="C15" s="83" t="str">
        <x:v>Manj internih IT ur</x:v>
      </x:c>
      <x:c r="D15" s="83" t="str">
        <x:v>Če so interne ure že v TCO, jih ne dodajaj posebej</x:v>
      </x:c>
    </x:row>
    <x:row r="16" ht="15" hidden="0" customHeight="1">
      <x:c r="A16" s="86" t="str">
        <x:v>DC-12</x:v>
      </x:c>
      <x:c r="B16" s="86" t="str">
        <x:v>CO2e zmanjšanje</x:v>
      </x:c>
      <x:c r="C16" s="86" t="str">
        <x:v>Prihranek goriva</x:v>
      </x:c>
      <x:c r="D16" s="86" t="str">
        <x:v>Okoljski kazalnik naj ne postane dodaten EUR benefit brez ločene cene ogljika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3ed8283dc57451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44" hidden="0" customWidth="1"/>
    <x:col min="4" max="4" width="24" hidden="0" customWidth="1"/>
    <x:col min="5" max="5" width="38" hidden="0" customWidth="1"/>
    <x:col min="6" max="6" width="18" hidden="0" customWidth="1"/>
    <x:col min="7" max="7" width="48" hidden="0" customWidth="1"/>
  </x:cols>
  <x:sheetData>
    <x:row r="1" ht="34" customHeight="1">
      <x:c r="A1" s="4" t="str">
        <x:v>Podatkovni slovar</x:v>
      </x:c>
      <x:c r="B1" s="4"/>
      <x:c r="C1" s="4"/>
      <x:c r="D1" s="4"/>
      <x:c r="E1" s="4"/>
      <x:c r="F1" s="4"/>
      <x:c r="G1" s="4"/>
    </x:row>
    <x:row r="2" ht="31" customHeight="1">
      <x:c r="A2" s="8" t="str">
        <x:v>Minimalni model entitet in dogodkov za ERP/TMS/WMS/telematiko/integracije.</x:v>
      </x:c>
      <x:c r="B2" s="8"/>
      <x:c r="C2" s="8"/>
      <x:c r="D2" s="8"/>
      <x:c r="E2" s="8"/>
      <x:c r="F2" s="8"/>
      <x:c r="G2" s="8"/>
    </x:row>
    <x:row r="4" ht="15" hidden="0" customHeight="1">
      <x:c r="A4" s="74" t="str">
        <x:v>ID</x:v>
      </x:c>
      <x:c r="B4" s="74" t="str">
        <x:v>Entiteta</x:v>
      </x:c>
      <x:c r="C4" s="74" t="str">
        <x:v>Polje ali dogodek</x:v>
      </x:c>
      <x:c r="D4" s="74" t="str">
        <x:v>Lastnik</x:v>
      </x:c>
      <x:c r="E4" s="74" t="str">
        <x:v>Vir</x:v>
      </x:c>
      <x:c r="F4" s="74" t="str">
        <x:v>Frekvenca</x:v>
      </x:c>
      <x:c r="G4" s="74" t="str">
        <x:v>Pravilo</x:v>
      </x:c>
    </x:row>
    <x:row r="5" ht="15" hidden="0" customHeight="1">
      <x:c r="A5" s="82" t="str">
        <x:v>DATA-001</x:v>
      </x:c>
      <x:c r="B5" s="82" t="str">
        <x:v>Partner</x:v>
      </x:c>
      <x:c r="C5" s="82" t="str">
        <x:v>partner_id</x:v>
      </x:c>
      <x:c r="D5" s="82" t="str">
        <x:v>MDM/ERP</x:v>
      </x:c>
      <x:c r="E5" s="82" t="str">
        <x:v>sistemski ali potrjen uporabniški vnos</x:v>
      </x:c>
      <x:c r="F5" s="82" t="str">
        <x:v>ob dogodku/spremembi</x:v>
      </x:c>
      <x:c r="G5" s="82" t="str">
        <x:v>obvezno za procesne KPI-je</x:v>
      </x:c>
    </x:row>
    <x:row r="6" ht="15" hidden="0" customHeight="1">
      <x:c r="A6" s="85" t="str">
        <x:v>DATA-002</x:v>
      </x:c>
      <x:c r="B6" s="85" t="str">
        <x:v>Partner</x:v>
      </x:c>
      <x:c r="C6" s="85" t="str">
        <x:v>davčna</x:v>
      </x:c>
      <x:c r="D6" s="85" t="str">
        <x:v>MDM/ERP</x:v>
      </x:c>
      <x:c r="E6" s="85" t="str">
        <x:v>sistemski ali potrjen uporabniški vnos</x:v>
      </x:c>
      <x:c r="F6" s="85" t="str">
        <x:v>ob dogodku/spremembi</x:v>
      </x:c>
      <x:c r="G6" s="85" t="str">
        <x:v>obvezno za procesne KPI-je</x:v>
      </x:c>
    </x:row>
    <x:row r="7" ht="15" hidden="0" customHeight="1">
      <x:c r="A7" s="83" t="str">
        <x:v>DATA-003</x:v>
      </x:c>
      <x:c r="B7" s="83" t="str">
        <x:v>Partner</x:v>
      </x:c>
      <x:c r="C7" s="83" t="str">
        <x:v>vloge</x:v>
      </x:c>
      <x:c r="D7" s="83" t="str">
        <x:v>MDM/ERP</x:v>
      </x:c>
      <x:c r="E7" s="83" t="str">
        <x:v>sistemski ali potrjen uporabniški vnos</x:v>
      </x:c>
      <x:c r="F7" s="83" t="str">
        <x:v>ob dogodku/spremembi</x:v>
      </x:c>
      <x:c r="G7" s="83" t="str">
        <x:v>obvezno za procesne KPI-je</x:v>
      </x:c>
    </x:row>
    <x:row r="8" ht="15" hidden="0" customHeight="1">
      <x:c r="A8" s="85" t="str">
        <x:v>DATA-004</x:v>
      </x:c>
      <x:c r="B8" s="85" t="str">
        <x:v>Partner</x:v>
      </x:c>
      <x:c r="C8" s="85" t="str">
        <x:v>naslovi</x:v>
      </x:c>
      <x:c r="D8" s="85" t="str">
        <x:v>MDM/ERP</x:v>
      </x:c>
      <x:c r="E8" s="85" t="str">
        <x:v>sistemski ali potrjen uporabniški vnos</x:v>
      </x:c>
      <x:c r="F8" s="85" t="str">
        <x:v>ob dogodku/spremembi</x:v>
      </x:c>
      <x:c r="G8" s="85" t="str">
        <x:v>obvezno za procesne KPI-je</x:v>
      </x:c>
    </x:row>
    <x:row r="9" ht="15" hidden="0" customHeight="1">
      <x:c r="A9" s="83" t="str">
        <x:v>DATA-005</x:v>
      </x:c>
      <x:c r="B9" s="83" t="str">
        <x:v>Partner</x:v>
      </x:c>
      <x:c r="C9" s="83" t="str">
        <x:v>pogoji</x:v>
      </x:c>
      <x:c r="D9" s="83" t="str">
        <x:v>MDM/ERP</x:v>
      </x:c>
      <x:c r="E9" s="83" t="str">
        <x:v>sistemski ali potrjen uporabniški vnos</x:v>
      </x:c>
      <x:c r="F9" s="83" t="str">
        <x:v>ob dogodku/spremembi</x:v>
      </x:c>
      <x:c r="G9" s="83" t="str">
        <x:v>obvezno za procesne KPI-je</x:v>
      </x:c>
    </x:row>
    <x:row r="10" ht="15" hidden="0" customHeight="1">
      <x:c r="A10" s="85" t="str">
        <x:v>DATA-006</x:v>
      </x:c>
      <x:c r="B10" s="85" t="str">
        <x:v>Lokacija</x:v>
      </x:c>
      <x:c r="C10" s="85" t="str">
        <x:v>location_id</x:v>
      </x:c>
      <x:c r="D10" s="85" t="str">
        <x:v>MDM/TMS/WMS</x:v>
      </x:c>
      <x:c r="E10" s="85" t="str">
        <x:v>sistemski ali potrjen uporabniški vnos</x:v>
      </x:c>
      <x:c r="F10" s="85" t="str">
        <x:v>ob dogodku/spremembi</x:v>
      </x:c>
      <x:c r="G10" s="85" t="str">
        <x:v>obvezno za procesne KPI-je</x:v>
      </x:c>
    </x:row>
    <x:row r="11" ht="15" hidden="0" customHeight="1">
      <x:c r="A11" s="83" t="str">
        <x:v>DATA-007</x:v>
      </x:c>
      <x:c r="B11" s="83" t="str">
        <x:v>Lokacija</x:v>
      </x:c>
      <x:c r="C11" s="83" t="str">
        <x:v>geokoordinate</x:v>
      </x:c>
      <x:c r="D11" s="83" t="str">
        <x:v>MDM/TMS/WMS</x:v>
      </x:c>
      <x:c r="E11" s="83" t="str">
        <x:v>sistemski ali potrjen uporabniški vnos</x:v>
      </x:c>
      <x:c r="F11" s="83" t="str">
        <x:v>ob dogodku/spremembi</x:v>
      </x:c>
      <x:c r="G11" s="83" t="str">
        <x:v>obvezno za procesne KPI-je</x:v>
      </x:c>
    </x:row>
    <x:row r="12" ht="15" hidden="0" customHeight="1">
      <x:c r="A12" s="85" t="str">
        <x:v>DATA-008</x:v>
      </x:c>
      <x:c r="B12" s="85" t="str">
        <x:v>Lokacija</x:v>
      </x:c>
      <x:c r="C12" s="85" t="str">
        <x:v>časovna okna</x:v>
      </x:c>
      <x:c r="D12" s="85" t="str">
        <x:v>MDM/TMS/WMS</x:v>
      </x:c>
      <x:c r="E12" s="85" t="str">
        <x:v>sistemski ali potrjen uporabniški vnos</x:v>
      </x:c>
      <x:c r="F12" s="85" t="str">
        <x:v>ob dogodku/spremembi</x:v>
      </x:c>
      <x:c r="G12" s="85" t="str">
        <x:v>obvezno za procesne KPI-je</x:v>
      </x:c>
    </x:row>
    <x:row r="13" ht="15" hidden="0" customHeight="1">
      <x:c r="A13" s="83" t="str">
        <x:v>DATA-009</x:v>
      </x:c>
      <x:c r="B13" s="83" t="str">
        <x:v>Lokacija</x:v>
      </x:c>
      <x:c r="C13" s="83" t="str">
        <x:v>tip</x:v>
      </x:c>
      <x:c r="D13" s="83" t="str">
        <x:v>MDM/TMS/WMS</x:v>
      </x:c>
      <x:c r="E13" s="83" t="str">
        <x:v>sistemski ali potrjen uporabniški vnos</x:v>
      </x:c>
      <x:c r="F13" s="83" t="str">
        <x:v>ob dogodku/spremembi</x:v>
      </x:c>
      <x:c r="G13" s="83" t="str">
        <x:v>obvezno za procesne KPI-je</x:v>
      </x:c>
    </x:row>
    <x:row r="14" ht="15" hidden="0" customHeight="1">
      <x:c r="A14" s="85" t="str">
        <x:v>DATA-010</x:v>
      </x:c>
      <x:c r="B14" s="85" t="str">
        <x:v>Artikel/SKU</x:v>
      </x:c>
      <x:c r="C14" s="85" t="str">
        <x:v>sku_id</x:v>
      </x:c>
      <x:c r="D14" s="85" t="str">
        <x:v>ERP/WMS</x:v>
      </x:c>
      <x:c r="E14" s="85" t="str">
        <x:v>sistemski ali potrjen uporabniški vnos</x:v>
      </x:c>
      <x:c r="F14" s="85" t="str">
        <x:v>ob dogodku/spremembi</x:v>
      </x:c>
      <x:c r="G14" s="85" t="str">
        <x:v>obvezno za procesne KPI-je</x:v>
      </x:c>
    </x:row>
    <x:row r="15" ht="15" hidden="0" customHeight="1">
      <x:c r="A15" s="83" t="str">
        <x:v>DATA-011</x:v>
      </x:c>
      <x:c r="B15" s="83" t="str">
        <x:v>Artikel/SKU</x:v>
      </x:c>
      <x:c r="C15" s="83" t="str">
        <x:v>GTIN</x:v>
      </x:c>
      <x:c r="D15" s="83" t="str">
        <x:v>ERP/WMS</x:v>
      </x:c>
      <x:c r="E15" s="83" t="str">
        <x:v>sistemski ali potrjen uporabniški vnos</x:v>
      </x:c>
      <x:c r="F15" s="83" t="str">
        <x:v>ob dogodku/spremembi</x:v>
      </x:c>
      <x:c r="G15" s="83" t="str">
        <x:v>obvezno za procesne KPI-je</x:v>
      </x:c>
    </x:row>
    <x:row r="16" ht="15" hidden="0" customHeight="1">
      <x:c r="A16" s="85" t="str">
        <x:v>DATA-012</x:v>
      </x:c>
      <x:c r="B16" s="85" t="str">
        <x:v>Artikel/SKU</x:v>
      </x:c>
      <x:c r="C16" s="85" t="str">
        <x:v>teža</x:v>
      </x:c>
      <x:c r="D16" s="85" t="str">
        <x:v>ERP/WMS</x:v>
      </x:c>
      <x:c r="E16" s="85" t="str">
        <x:v>sistemski ali potrjen uporabniški vnos</x:v>
      </x:c>
      <x:c r="F16" s="85" t="str">
        <x:v>ob dogodku/spremembi</x:v>
      </x:c>
      <x:c r="G16" s="85" t="str">
        <x:v>obvezno za procesne KPI-je</x:v>
      </x:c>
    </x:row>
    <x:row r="17" ht="15" hidden="0" customHeight="1">
      <x:c r="A17" s="83" t="str">
        <x:v>DATA-013</x:v>
      </x:c>
      <x:c r="B17" s="83" t="str">
        <x:v>Artikel/SKU</x:v>
      </x:c>
      <x:c r="C17" s="83" t="str">
        <x:v>volumen</x:v>
      </x:c>
      <x:c r="D17" s="83" t="str">
        <x:v>ERP/WMS</x:v>
      </x:c>
      <x:c r="E17" s="83" t="str">
        <x:v>sistemski ali potrjen uporabniški vnos</x:v>
      </x:c>
      <x:c r="F17" s="83" t="str">
        <x:v>ob dogodku/spremembi</x:v>
      </x:c>
      <x:c r="G17" s="83" t="str">
        <x:v>obvezno za procesne KPI-je</x:v>
      </x:c>
    </x:row>
    <x:row r="18" ht="15" hidden="0" customHeight="1">
      <x:c r="A18" s="85" t="str">
        <x:v>DATA-014</x:v>
      </x:c>
      <x:c r="B18" s="85" t="str">
        <x:v>Artikel/SKU</x:v>
      </x:c>
      <x:c r="C18" s="85" t="str">
        <x:v>lot/serija</x:v>
      </x:c>
      <x:c r="D18" s="85" t="str">
        <x:v>ERP/WMS</x:v>
      </x:c>
      <x:c r="E18" s="85" t="str">
        <x:v>sistemski ali potrjen uporabniški vnos</x:v>
      </x:c>
      <x:c r="F18" s="85" t="str">
        <x:v>ob dogodku/spremembi</x:v>
      </x:c>
      <x:c r="G18" s="85" t="str">
        <x:v>obvezno za procesne KPI-je</x:v>
      </x:c>
    </x:row>
    <x:row r="19" ht="15" hidden="0" customHeight="1">
      <x:c r="A19" s="83" t="str">
        <x:v>DATA-015</x:v>
      </x:c>
      <x:c r="B19" s="83" t="str">
        <x:v>Artikel/SKU</x:v>
      </x:c>
      <x:c r="C19" s="83" t="str">
        <x:v>režim</x:v>
      </x:c>
      <x:c r="D19" s="83" t="str">
        <x:v>ERP/WMS</x:v>
      </x:c>
      <x:c r="E19" s="83" t="str">
        <x:v>sistemski ali potrjen uporabniški vnos</x:v>
      </x:c>
      <x:c r="F19" s="83" t="str">
        <x:v>ob dogodku/spremembi</x:v>
      </x:c>
      <x:c r="G19" s="83" t="str">
        <x:v>obvezno za procesne KPI-je</x:v>
      </x:c>
    </x:row>
    <x:row r="20" ht="15" hidden="0" customHeight="1">
      <x:c r="A20" s="85" t="str">
        <x:v>DATA-016</x:v>
      </x:c>
      <x:c r="B20" s="85" t="str">
        <x:v>Naročilo</x:v>
      </x:c>
      <x:c r="C20" s="85" t="str">
        <x:v>order_id</x:v>
      </x:c>
      <x:c r="D20" s="85" t="str">
        <x:v>ERP/OMS</x:v>
      </x:c>
      <x:c r="E20" s="85" t="str">
        <x:v>sistemski ali potrjen uporabniški vnos</x:v>
      </x:c>
      <x:c r="F20" s="85" t="str">
        <x:v>ob dogodku/spremembi</x:v>
      </x:c>
      <x:c r="G20" s="85" t="str">
        <x:v>obvezno za procesne KPI-je</x:v>
      </x:c>
    </x:row>
    <x:row r="21" ht="15" hidden="0" customHeight="1">
      <x:c r="A21" s="83" t="str">
        <x:v>DATA-017</x:v>
      </x:c>
      <x:c r="B21" s="83" t="str">
        <x:v>Naročilo</x:v>
      </x:c>
      <x:c r="C21" s="83" t="str">
        <x:v>stranka</x:v>
      </x:c>
      <x:c r="D21" s="83" t="str">
        <x:v>ERP/OMS</x:v>
      </x:c>
      <x:c r="E21" s="83" t="str">
        <x:v>sistemski ali potrjen uporabniški vnos</x:v>
      </x:c>
      <x:c r="F21" s="83" t="str">
        <x:v>ob dogodku/spremembi</x:v>
      </x:c>
      <x:c r="G21" s="83" t="str">
        <x:v>obvezno za procesne KPI-je</x:v>
      </x:c>
    </x:row>
    <x:row r="22" ht="15" hidden="0" customHeight="1">
      <x:c r="A22" s="85" t="str">
        <x:v>DATA-018</x:v>
      </x:c>
      <x:c r="B22" s="85" t="str">
        <x:v>Naročilo</x:v>
      </x:c>
      <x:c r="C22" s="85" t="str">
        <x:v>roki</x:v>
      </x:c>
      <x:c r="D22" s="85" t="str">
        <x:v>ERP/OMS</x:v>
      </x:c>
      <x:c r="E22" s="85" t="str">
        <x:v>sistemski ali potrjen uporabniški vnos</x:v>
      </x:c>
      <x:c r="F22" s="85" t="str">
        <x:v>ob dogodku/spremembi</x:v>
      </x:c>
      <x:c r="G22" s="85" t="str">
        <x:v>obvezno za procesne KPI-je</x:v>
      </x:c>
    </x:row>
    <x:row r="23" ht="15" hidden="0" customHeight="1">
      <x:c r="A23" s="83" t="str">
        <x:v>DATA-019</x:v>
      </x:c>
      <x:c r="B23" s="83" t="str">
        <x:v>Naročilo</x:v>
      </x:c>
      <x:c r="C23" s="83" t="str">
        <x:v>vrstice</x:v>
      </x:c>
      <x:c r="D23" s="83" t="str">
        <x:v>ERP/OMS</x:v>
      </x:c>
      <x:c r="E23" s="83" t="str">
        <x:v>sistemski ali potrjen uporabniški vnos</x:v>
      </x:c>
      <x:c r="F23" s="83" t="str">
        <x:v>ob dogodku/spremembi</x:v>
      </x:c>
      <x:c r="G23" s="83" t="str">
        <x:v>obvezno za procesne KPI-je</x:v>
      </x:c>
    </x:row>
    <x:row r="24" ht="15" hidden="0" customHeight="1">
      <x:c r="A24" s="85" t="str">
        <x:v>DATA-020</x:v>
      </x:c>
      <x:c r="B24" s="85" t="str">
        <x:v>Naročilo</x:v>
      </x:c>
      <x:c r="C24" s="85" t="str">
        <x:v>Incoterm</x:v>
      </x:c>
      <x:c r="D24" s="85" t="str">
        <x:v>ERP/OMS</x:v>
      </x:c>
      <x:c r="E24" s="85" t="str">
        <x:v>sistemski ali potrjen uporabniški vnos</x:v>
      </x:c>
      <x:c r="F24" s="85" t="str">
        <x:v>ob dogodku/spremembi</x:v>
      </x:c>
      <x:c r="G24" s="85" t="str">
        <x:v>obvezno za procesne KPI-je</x:v>
      </x:c>
    </x:row>
    <x:row r="25" ht="15" hidden="0" customHeight="1">
      <x:c r="A25" s="83" t="str">
        <x:v>DATA-021</x:v>
      </x:c>
      <x:c r="B25" s="83" t="str">
        <x:v>Pošiljka</x:v>
      </x:c>
      <x:c r="C25" s="83" t="str">
        <x:v>shipment_id</x:v>
      </x:c>
      <x:c r="D25" s="83" t="str">
        <x:v>TMS</x:v>
      </x:c>
      <x:c r="E25" s="83" t="str">
        <x:v>sistemski ali potrjen uporabniški vnos</x:v>
      </x:c>
      <x:c r="F25" s="83" t="str">
        <x:v>ob dogodku/spremembi</x:v>
      </x:c>
      <x:c r="G25" s="83" t="str">
        <x:v>obvezno za procesne KPI-je</x:v>
      </x:c>
    </x:row>
    <x:row r="26" ht="15" hidden="0" customHeight="1">
      <x:c r="A26" s="85" t="str">
        <x:v>DATA-022</x:v>
      </x:c>
      <x:c r="B26" s="85" t="str">
        <x:v>Pošiljka</x:v>
      </x:c>
      <x:c r="C26" s="85" t="str">
        <x:v>order_id</x:v>
      </x:c>
      <x:c r="D26" s="85" t="str">
        <x:v>TMS</x:v>
      </x:c>
      <x:c r="E26" s="85" t="str">
        <x:v>sistemski ali potrjen uporabniški vnos</x:v>
      </x:c>
      <x:c r="F26" s="85" t="str">
        <x:v>ob dogodku/spremembi</x:v>
      </x:c>
      <x:c r="G26" s="85" t="str">
        <x:v>obvezno za procesne KPI-je</x:v>
      </x:c>
    </x:row>
    <x:row r="27" ht="15" hidden="0" customHeight="1">
      <x:c r="A27" s="83" t="str">
        <x:v>DATA-023</x:v>
      </x:c>
      <x:c r="B27" s="83" t="str">
        <x:v>Pošiljka</x:v>
      </x:c>
      <x:c r="C27" s="83" t="str">
        <x:v>od/do</x:v>
      </x:c>
      <x:c r="D27" s="83" t="str">
        <x:v>TMS</x:v>
      </x:c>
      <x:c r="E27" s="83" t="str">
        <x:v>sistemski ali potrjen uporabniški vnos</x:v>
      </x:c>
      <x:c r="F27" s="83" t="str">
        <x:v>ob dogodku/spremembi</x:v>
      </x:c>
      <x:c r="G27" s="83" t="str">
        <x:v>obvezno za procesne KPI-je</x:v>
      </x:c>
    </x:row>
    <x:row r="28" ht="15" hidden="0" customHeight="1">
      <x:c r="A28" s="85" t="str">
        <x:v>DATA-024</x:v>
      </x:c>
      <x:c r="B28" s="85" t="str">
        <x:v>Pošiljka</x:v>
      </x:c>
      <x:c r="C28" s="85" t="str">
        <x:v>količine</x:v>
      </x:c>
      <x:c r="D28" s="85" t="str">
        <x:v>TMS</x:v>
      </x:c>
      <x:c r="E28" s="85" t="str">
        <x:v>sistemski ali potrjen uporabniški vnos</x:v>
      </x:c>
      <x:c r="F28" s="85" t="str">
        <x:v>ob dogodku/spremembi</x:v>
      </x:c>
      <x:c r="G28" s="85" t="str">
        <x:v>obvezno za procesne KPI-je</x:v>
      </x:c>
    </x:row>
    <x:row r="29" ht="15" hidden="0" customHeight="1">
      <x:c r="A29" s="83" t="str">
        <x:v>DATA-025</x:v>
      </x:c>
      <x:c r="B29" s="83" t="str">
        <x:v>Pošiljka</x:v>
      </x:c>
      <x:c r="C29" s="83" t="str">
        <x:v>SLA</x:v>
      </x:c>
      <x:c r="D29" s="83" t="str">
        <x:v>TMS</x:v>
      </x:c>
      <x:c r="E29" s="83" t="str">
        <x:v>sistemski ali potrjen uporabniški vnos</x:v>
      </x:c>
      <x:c r="F29" s="83" t="str">
        <x:v>ob dogodku/spremembi</x:v>
      </x:c>
      <x:c r="G29" s="83" t="str">
        <x:v>obvezno za procesne KPI-je</x:v>
      </x:c>
    </x:row>
    <x:row r="30" ht="15" hidden="0" customHeight="1">
      <x:c r="A30" s="85" t="str">
        <x:v>DATA-026</x:v>
      </x:c>
      <x:c r="B30" s="85" t="str">
        <x:v>Tura</x:v>
      </x:c>
      <x:c r="C30" s="85" t="str">
        <x:v>trip_id</x:v>
      </x:c>
      <x:c r="D30" s="85" t="str">
        <x:v>TMS</x:v>
      </x:c>
      <x:c r="E30" s="85" t="str">
        <x:v>sistemski ali potrjen uporabniški vnos</x:v>
      </x:c>
      <x:c r="F30" s="85" t="str">
        <x:v>ob dogodku/spremembi</x:v>
      </x:c>
      <x:c r="G30" s="85" t="str">
        <x:v>obvezno za procesne KPI-je</x:v>
      </x:c>
    </x:row>
    <x:row r="31" ht="15" hidden="0" customHeight="1">
      <x:c r="A31" s="83" t="str">
        <x:v>DATA-027</x:v>
      </x:c>
      <x:c r="B31" s="83" t="str">
        <x:v>Tura</x:v>
      </x:c>
      <x:c r="C31" s="83" t="str">
        <x:v>vozilo</x:v>
      </x:c>
      <x:c r="D31" s="83" t="str">
        <x:v>TMS</x:v>
      </x:c>
      <x:c r="E31" s="83" t="str">
        <x:v>sistemski ali potrjen uporabniški vnos</x:v>
      </x:c>
      <x:c r="F31" s="83" t="str">
        <x:v>ob dogodku/spremembi</x:v>
      </x:c>
      <x:c r="G31" s="83" t="str">
        <x:v>obvezno za procesne KPI-je</x:v>
      </x:c>
    </x:row>
    <x:row r="32" ht="15" hidden="0" customHeight="1">
      <x:c r="A32" s="85" t="str">
        <x:v>DATA-028</x:v>
      </x:c>
      <x:c r="B32" s="85" t="str">
        <x:v>Tura</x:v>
      </x:c>
      <x:c r="C32" s="85" t="str">
        <x:v>voznik</x:v>
      </x:c>
      <x:c r="D32" s="85" t="str">
        <x:v>TMS</x:v>
      </x:c>
      <x:c r="E32" s="85" t="str">
        <x:v>sistemski ali potrjen uporabniški vnos</x:v>
      </x:c>
      <x:c r="F32" s="85" t="str">
        <x:v>ob dogodku/spremembi</x:v>
      </x:c>
      <x:c r="G32" s="85" t="str">
        <x:v>obvezno za procesne KPI-je</x:v>
      </x:c>
    </x:row>
    <x:row r="33" ht="15" hidden="0" customHeight="1">
      <x:c r="A33" s="83" t="str">
        <x:v>DATA-029</x:v>
      </x:c>
      <x:c r="B33" s="83" t="str">
        <x:v>Tura</x:v>
      </x:c>
      <x:c r="C33" s="83" t="str">
        <x:v>postanki</x:v>
      </x:c>
      <x:c r="D33" s="83" t="str">
        <x:v>TMS</x:v>
      </x:c>
      <x:c r="E33" s="83" t="str">
        <x:v>sistemski ali potrjen uporabniški vnos</x:v>
      </x:c>
      <x:c r="F33" s="83" t="str">
        <x:v>ob dogodku/spremembi</x:v>
      </x:c>
      <x:c r="G33" s="83" t="str">
        <x:v>obvezno za procesne KPI-je</x:v>
      </x:c>
    </x:row>
    <x:row r="34" ht="15" hidden="0" customHeight="1">
      <x:c r="A34" s="85" t="str">
        <x:v>DATA-030</x:v>
      </x:c>
      <x:c r="B34" s="85" t="str">
        <x:v>Tura</x:v>
      </x:c>
      <x:c r="C34" s="85" t="str">
        <x:v>plan/actual km</x:v>
      </x:c>
      <x:c r="D34" s="85" t="str">
        <x:v>TMS</x:v>
      </x:c>
      <x:c r="E34" s="85" t="str">
        <x:v>sistemski ali potrjen uporabniški vnos</x:v>
      </x:c>
      <x:c r="F34" s="85" t="str">
        <x:v>ob dogodku/spremembi</x:v>
      </x:c>
      <x:c r="G34" s="85" t="str">
        <x:v>obvezno za procesne KPI-je</x:v>
      </x:c>
    </x:row>
    <x:row r="35" ht="15" hidden="0" customHeight="1">
      <x:c r="A35" s="83" t="str">
        <x:v>DATA-031</x:v>
      </x:c>
      <x:c r="B35" s="83" t="str">
        <x:v>Vozilo</x:v>
      </x:c>
      <x:c r="C35" s="83" t="str">
        <x:v>vehicle_id</x:v>
      </x:c>
      <x:c r="D35" s="83" t="str">
        <x:v>FMS/TMS</x:v>
      </x:c>
      <x:c r="E35" s="83" t="str">
        <x:v>sistemski ali potrjen uporabniški vnos</x:v>
      </x:c>
      <x:c r="F35" s="83" t="str">
        <x:v>ob dogodku/spremembi</x:v>
      </x:c>
      <x:c r="G35" s="83" t="str">
        <x:v>obvezno za procesne KPI-je</x:v>
      </x:c>
    </x:row>
    <x:row r="36" ht="15" hidden="0" customHeight="1">
      <x:c r="A36" s="85" t="str">
        <x:v>DATA-032</x:v>
      </x:c>
      <x:c r="B36" s="85" t="str">
        <x:v>Vozilo</x:v>
      </x:c>
      <x:c r="C36" s="85" t="str">
        <x:v>tip</x:v>
      </x:c>
      <x:c r="D36" s="85" t="str">
        <x:v>FMS/TMS</x:v>
      </x:c>
      <x:c r="E36" s="85" t="str">
        <x:v>sistemski ali potrjen uporabniški vnos</x:v>
      </x:c>
      <x:c r="F36" s="85" t="str">
        <x:v>ob dogodku/spremembi</x:v>
      </x:c>
      <x:c r="G36" s="85" t="str">
        <x:v>obvezno za procesne KPI-je</x:v>
      </x:c>
    </x:row>
    <x:row r="37" ht="15" hidden="0" customHeight="1">
      <x:c r="A37" s="83" t="str">
        <x:v>DATA-033</x:v>
      </x:c>
      <x:c r="B37" s="83" t="str">
        <x:v>Vozilo</x:v>
      </x:c>
      <x:c r="C37" s="83" t="str">
        <x:v>kapacitete</x:v>
      </x:c>
      <x:c r="D37" s="83" t="str">
        <x:v>FMS/TMS</x:v>
      </x:c>
      <x:c r="E37" s="83" t="str">
        <x:v>sistemski ali potrjen uporabniški vnos</x:v>
      </x:c>
      <x:c r="F37" s="83" t="str">
        <x:v>ob dogodku/spremembi</x:v>
      </x:c>
      <x:c r="G37" s="83" t="str">
        <x:v>obvezno za procesne KPI-je</x:v>
      </x:c>
    </x:row>
    <x:row r="38" ht="15" hidden="0" customHeight="1">
      <x:c r="A38" s="85" t="str">
        <x:v>DATA-034</x:v>
      </x:c>
      <x:c r="B38" s="85" t="str">
        <x:v>Vozilo</x:v>
      </x:c>
      <x:c r="C38" s="85" t="str">
        <x:v>emisijski razred</x:v>
      </x:c>
      <x:c r="D38" s="85" t="str">
        <x:v>FMS/TMS</x:v>
      </x:c>
      <x:c r="E38" s="85" t="str">
        <x:v>sistemski ali potrjen uporabniški vnos</x:v>
      </x:c>
      <x:c r="F38" s="85" t="str">
        <x:v>ob dogodku/spremembi</x:v>
      </x:c>
      <x:c r="G38" s="85" t="str">
        <x:v>obvezno za procesne KPI-je</x:v>
      </x:c>
    </x:row>
    <x:row r="39" ht="15" hidden="0" customHeight="1">
      <x:c r="A39" s="83" t="str">
        <x:v>DATA-035</x:v>
      </x:c>
      <x:c r="B39" s="83" t="str">
        <x:v>Vozilo</x:v>
      </x:c>
      <x:c r="C39" s="83" t="str">
        <x:v>status</x:v>
      </x:c>
      <x:c r="D39" s="83" t="str">
        <x:v>FMS/TMS</x:v>
      </x:c>
      <x:c r="E39" s="83" t="str">
        <x:v>sistemski ali potrjen uporabniški vnos</x:v>
      </x:c>
      <x:c r="F39" s="83" t="str">
        <x:v>ob dogodku/spremembi</x:v>
      </x:c>
      <x:c r="G39" s="83" t="str">
        <x:v>obvezno za procesne KPI-je</x:v>
      </x:c>
    </x:row>
    <x:row r="40">
      <x:c r="A40" s="85" t="str">
        <x:v>DATA-036</x:v>
      </x:c>
      <x:c r="B40" s="85" t="str">
        <x:v>Voznik</x:v>
      </x:c>
      <x:c r="C40" s="85" t="str">
        <x:v>driver_id</x:v>
      </x:c>
      <x:c r="D40" s="85" t="str">
        <x:v>HR/TMS</x:v>
      </x:c>
      <x:c r="E40" s="85" t="str">
        <x:v>sistemski ali potrjen uporabniški vnos</x:v>
      </x:c>
      <x:c r="F40" s="85" t="str">
        <x:v>ob dogodku/spremembi</x:v>
      </x:c>
      <x:c r="G40" s="85" t="str">
        <x:v>obvezno za procesne KPI-je</x:v>
      </x:c>
    </x:row>
    <x:row r="41">
      <x:c r="A41" s="83" t="str">
        <x:v>DATA-037</x:v>
      </x:c>
      <x:c r="B41" s="83" t="str">
        <x:v>Voznik</x:v>
      </x:c>
      <x:c r="C41" s="83" t="str">
        <x:v>kompetence</x:v>
      </x:c>
      <x:c r="D41" s="83" t="str">
        <x:v>HR/TMS</x:v>
      </x:c>
      <x:c r="E41" s="83" t="str">
        <x:v>sistemski ali potrjen uporabniški vnos</x:v>
      </x:c>
      <x:c r="F41" s="83" t="str">
        <x:v>ob dogodku/spremembi</x:v>
      </x:c>
      <x:c r="G41" s="83" t="str">
        <x:v>obvezno za procesne KPI-je</x:v>
      </x:c>
    </x:row>
    <x:row r="42">
      <x:c r="A42" s="85" t="str">
        <x:v>DATA-038</x:v>
      </x:c>
      <x:c r="B42" s="85" t="str">
        <x:v>Voznik</x:v>
      </x:c>
      <x:c r="C42" s="85" t="str">
        <x:v>razpoložljivost</x:v>
      </x:c>
      <x:c r="D42" s="85" t="str">
        <x:v>HR/TMS</x:v>
      </x:c>
      <x:c r="E42" s="85" t="str">
        <x:v>sistemski ali potrjen uporabniški vnos</x:v>
      </x:c>
      <x:c r="F42" s="85" t="str">
        <x:v>ob dogodku/spremembi</x:v>
      </x:c>
      <x:c r="G42" s="85" t="str">
        <x:v>obvezno za procesne KPI-je</x:v>
      </x:c>
    </x:row>
    <x:row r="43">
      <x:c r="A43" s="83" t="str">
        <x:v>DATA-039</x:v>
      </x:c>
      <x:c r="B43" s="83" t="str">
        <x:v>Voznik</x:v>
      </x:c>
      <x:c r="C43" s="83" t="str">
        <x:v>tahograf</x:v>
      </x:c>
      <x:c r="D43" s="83" t="str">
        <x:v>HR/TMS</x:v>
      </x:c>
      <x:c r="E43" s="83" t="str">
        <x:v>sistemski ali potrjen uporabniški vnos</x:v>
      </x:c>
      <x:c r="F43" s="83" t="str">
        <x:v>ob dogodku/spremembi</x:v>
      </x:c>
      <x:c r="G43" s="83" t="str">
        <x:v>obvezno za procesne KPI-je</x:v>
      </x:c>
    </x:row>
    <x:row r="44">
      <x:c r="A44" s="85" t="str">
        <x:v>DATA-040</x:v>
      </x:c>
      <x:c r="B44" s="85" t="str">
        <x:v>Prevoznik</x:v>
      </x:c>
      <x:c r="C44" s="85" t="str">
        <x:v>carrier_id</x:v>
      </x:c>
      <x:c r="D44" s="85" t="str">
        <x:v>TMS/ERP</x:v>
      </x:c>
      <x:c r="E44" s="85" t="str">
        <x:v>sistemski ali potrjen uporabniški vnos</x:v>
      </x:c>
      <x:c r="F44" s="85" t="str">
        <x:v>ob dogodku/spremembi</x:v>
      </x:c>
      <x:c r="G44" s="85" t="str">
        <x:v>obvezno za procesne KPI-je</x:v>
      </x:c>
    </x:row>
    <x:row r="45">
      <x:c r="A45" s="83" t="str">
        <x:v>DATA-041</x:v>
      </x:c>
      <x:c r="B45" s="83" t="str">
        <x:v>Prevoznik</x:v>
      </x:c>
      <x:c r="C45" s="83" t="str">
        <x:v>licence</x:v>
      </x:c>
      <x:c r="D45" s="83" t="str">
        <x:v>TMS/ERP</x:v>
      </x:c>
      <x:c r="E45" s="83" t="str">
        <x:v>sistemski ali potrjen uporabniški vnos</x:v>
      </x:c>
      <x:c r="F45" s="83" t="str">
        <x:v>ob dogodku/spremembi</x:v>
      </x:c>
      <x:c r="G45" s="83" t="str">
        <x:v>obvezno za procesne KPI-je</x:v>
      </x:c>
    </x:row>
    <x:row r="46">
      <x:c r="A46" s="85" t="str">
        <x:v>DATA-042</x:v>
      </x:c>
      <x:c r="B46" s="85" t="str">
        <x:v>Prevoznik</x:v>
      </x:c>
      <x:c r="C46" s="85" t="str">
        <x:v>tarife</x:v>
      </x:c>
      <x:c r="D46" s="85" t="str">
        <x:v>TMS/ERP</x:v>
      </x:c>
      <x:c r="E46" s="85" t="str">
        <x:v>sistemski ali potrjen uporabniški vnos</x:v>
      </x:c>
      <x:c r="F46" s="85" t="str">
        <x:v>ob dogodku/spremembi</x:v>
      </x:c>
      <x:c r="G46" s="85" t="str">
        <x:v>obvezno za procesne KPI-je</x:v>
      </x:c>
    </x:row>
    <x:row r="47">
      <x:c r="A47" s="83" t="str">
        <x:v>DATA-043</x:v>
      </x:c>
      <x:c r="B47" s="83" t="str">
        <x:v>Prevoznik</x:v>
      </x:c>
      <x:c r="C47" s="83" t="str">
        <x:v>zanesljivost</x:v>
      </x:c>
      <x:c r="D47" s="83" t="str">
        <x:v>TMS/ERP</x:v>
      </x:c>
      <x:c r="E47" s="83" t="str">
        <x:v>sistemski ali potrjen uporabniški vnos</x:v>
      </x:c>
      <x:c r="F47" s="83" t="str">
        <x:v>ob dogodku/spremembi</x:v>
      </x:c>
      <x:c r="G47" s="83" t="str">
        <x:v>obvezno za procesne KPI-je</x:v>
      </x:c>
    </x:row>
    <x:row r="48">
      <x:c r="A48" s="85" t="str">
        <x:v>DATA-044</x:v>
      </x:c>
      <x:c r="B48" s="85" t="str">
        <x:v>Skladišče</x:v>
      </x:c>
      <x:c r="C48" s="85" t="str">
        <x:v>warehouse_id</x:v>
      </x:c>
      <x:c r="D48" s="85" t="str">
        <x:v>WMS/ERP</x:v>
      </x:c>
      <x:c r="E48" s="85" t="str">
        <x:v>sistemski ali potrjen uporabniški vnos</x:v>
      </x:c>
      <x:c r="F48" s="85" t="str">
        <x:v>ob dogodku/spremembi</x:v>
      </x:c>
      <x:c r="G48" s="85" t="str">
        <x:v>obvezno za procesne KPI-je</x:v>
      </x:c>
    </x:row>
    <x:row r="49">
      <x:c r="A49" s="83" t="str">
        <x:v>DATA-045</x:v>
      </x:c>
      <x:c r="B49" s="83" t="str">
        <x:v>Skladišče</x:v>
      </x:c>
      <x:c r="C49" s="83" t="str">
        <x:v>cone</x:v>
      </x:c>
      <x:c r="D49" s="83" t="str">
        <x:v>WMS/ERP</x:v>
      </x:c>
      <x:c r="E49" s="83" t="str">
        <x:v>sistemski ali potrjen uporabniški vnos</x:v>
      </x:c>
      <x:c r="F49" s="83" t="str">
        <x:v>ob dogodku/spremembi</x:v>
      </x:c>
      <x:c r="G49" s="83" t="str">
        <x:v>obvezno za procesne KPI-je</x:v>
      </x:c>
    </x:row>
    <x:row r="50">
      <x:c r="A50" s="85" t="str">
        <x:v>DATA-046</x:v>
      </x:c>
      <x:c r="B50" s="85" t="str">
        <x:v>Skladišče</x:v>
      </x:c>
      <x:c r="C50" s="85" t="str">
        <x:v>vrata</x:v>
      </x:c>
      <x:c r="D50" s="85" t="str">
        <x:v>WMS/ERP</x:v>
      </x:c>
      <x:c r="E50" s="85" t="str">
        <x:v>sistemski ali potrjen uporabniški vnos</x:v>
      </x:c>
      <x:c r="F50" s="85" t="str">
        <x:v>ob dogodku/spremembi</x:v>
      </x:c>
      <x:c r="G50" s="85" t="str">
        <x:v>obvezno za procesne KPI-je</x:v>
      </x:c>
    </x:row>
    <x:row r="51">
      <x:c r="A51" s="83" t="str">
        <x:v>DATA-047</x:v>
      </x:c>
      <x:c r="B51" s="83" t="str">
        <x:v>Skladišče</x:v>
      </x:c>
      <x:c r="C51" s="83" t="str">
        <x:v>koledar</x:v>
      </x:c>
      <x:c r="D51" s="83" t="str">
        <x:v>WMS/ERP</x:v>
      </x:c>
      <x:c r="E51" s="83" t="str">
        <x:v>sistemski ali potrjen uporabniški vnos</x:v>
      </x:c>
      <x:c r="F51" s="83" t="str">
        <x:v>ob dogodku/spremembi</x:v>
      </x:c>
      <x:c r="G51" s="83" t="str">
        <x:v>obvezno za procesne KPI-je</x:v>
      </x:c>
    </x:row>
    <x:row r="52">
      <x:c r="A52" s="85" t="str">
        <x:v>DATA-048</x:v>
      </x:c>
      <x:c r="B52" s="85" t="str">
        <x:v>Lokacija zaloge</x:v>
      </x:c>
      <x:c r="C52" s="85" t="str">
        <x:v>bin_id</x:v>
      </x:c>
      <x:c r="D52" s="85" t="str">
        <x:v>WMS</x:v>
      </x:c>
      <x:c r="E52" s="85" t="str">
        <x:v>sistemski ali potrjen uporabniški vnos</x:v>
      </x:c>
      <x:c r="F52" s="85" t="str">
        <x:v>ob dogodku/spremembi</x:v>
      </x:c>
      <x:c r="G52" s="85" t="str">
        <x:v>obvezno za procesne KPI-je</x:v>
      </x:c>
    </x:row>
    <x:row r="53">
      <x:c r="A53" s="83" t="str">
        <x:v>DATA-049</x:v>
      </x:c>
      <x:c r="B53" s="83" t="str">
        <x:v>Lokacija zaloge</x:v>
      </x:c>
      <x:c r="C53" s="83" t="str">
        <x:v>cone</x:v>
      </x:c>
      <x:c r="D53" s="83" t="str">
        <x:v>WMS</x:v>
      </x:c>
      <x:c r="E53" s="83" t="str">
        <x:v>sistemski ali potrjen uporabniški vnos</x:v>
      </x:c>
      <x:c r="F53" s="83" t="str">
        <x:v>ob dogodku/spremembi</x:v>
      </x:c>
      <x:c r="G53" s="83" t="str">
        <x:v>obvezno za procesne KPI-je</x:v>
      </x:c>
    </x:row>
    <x:row r="54">
      <x:c r="A54" s="85" t="str">
        <x:v>DATA-050</x:v>
      </x:c>
      <x:c r="B54" s="85" t="str">
        <x:v>Lokacija zaloge</x:v>
      </x:c>
      <x:c r="C54" s="85" t="str">
        <x:v>kapaciteta</x:v>
      </x:c>
      <x:c r="D54" s="85" t="str">
        <x:v>WMS</x:v>
      </x:c>
      <x:c r="E54" s="85" t="str">
        <x:v>sistemski ali potrjen uporabniški vnos</x:v>
      </x:c>
      <x:c r="F54" s="85" t="str">
        <x:v>ob dogodku/spremembi</x:v>
      </x:c>
      <x:c r="G54" s="85" t="str">
        <x:v>obvezno za procesne KPI-je</x:v>
      </x:c>
    </x:row>
    <x:row r="55">
      <x:c r="A55" s="83" t="str">
        <x:v>DATA-051</x:v>
      </x:c>
      <x:c r="B55" s="83" t="str">
        <x:v>Lokacija zaloge</x:v>
      </x:c>
      <x:c r="C55" s="83" t="str">
        <x:v>pravila</x:v>
      </x:c>
      <x:c r="D55" s="83" t="str">
        <x:v>WMS</x:v>
      </x:c>
      <x:c r="E55" s="83" t="str">
        <x:v>sistemski ali potrjen uporabniški vnos</x:v>
      </x:c>
      <x:c r="F55" s="83" t="str">
        <x:v>ob dogodku/spremembi</x:v>
      </x:c>
      <x:c r="G55" s="83" t="str">
        <x:v>obvezno za procesne KPI-je</x:v>
      </x:c>
    </x:row>
    <x:row r="56">
      <x:c r="A56" s="85" t="str">
        <x:v>DATA-052</x:v>
      </x:c>
      <x:c r="B56" s="85" t="str">
        <x:v>Enota zaloge</x:v>
      </x:c>
      <x:c r="C56" s="85" t="str">
        <x:v>SSCC</x:v>
      </x:c>
      <x:c r="D56" s="85" t="str">
        <x:v>WMS/ERP</x:v>
      </x:c>
      <x:c r="E56" s="85" t="str">
        <x:v>sistemski ali potrjen uporabniški vnos</x:v>
      </x:c>
      <x:c r="F56" s="85" t="str">
        <x:v>ob dogodku/spremembi</x:v>
      </x:c>
      <x:c r="G56" s="85" t="str">
        <x:v>obvezno za procesne KPI-je</x:v>
      </x:c>
    </x:row>
    <x:row r="57">
      <x:c r="A57" s="83" t="str">
        <x:v>DATA-053</x:v>
      </x:c>
      <x:c r="B57" s="83" t="str">
        <x:v>Enota zaloge</x:v>
      </x:c>
      <x:c r="C57" s="83" t="str">
        <x:v>SKU</x:v>
      </x:c>
      <x:c r="D57" s="83" t="str">
        <x:v>WMS/ERP</x:v>
      </x:c>
      <x:c r="E57" s="83" t="str">
        <x:v>sistemski ali potrjen uporabniški vnos</x:v>
      </x:c>
      <x:c r="F57" s="83" t="str">
        <x:v>ob dogodku/spremembi</x:v>
      </x:c>
      <x:c r="G57" s="83" t="str">
        <x:v>obvezno za procesne KPI-je</x:v>
      </x:c>
    </x:row>
    <x:row r="58">
      <x:c r="A58" s="85" t="str">
        <x:v>DATA-054</x:v>
      </x:c>
      <x:c r="B58" s="85" t="str">
        <x:v>Enota zaloge</x:v>
      </x:c>
      <x:c r="C58" s="85" t="str">
        <x:v>lot</x:v>
      </x:c>
      <x:c r="D58" s="85" t="str">
        <x:v>WMS/ERP</x:v>
      </x:c>
      <x:c r="E58" s="85" t="str">
        <x:v>sistemski ali potrjen uporabniški vnos</x:v>
      </x:c>
      <x:c r="F58" s="85" t="str">
        <x:v>ob dogodku/spremembi</x:v>
      </x:c>
      <x:c r="G58" s="85" t="str">
        <x:v>obvezno za procesne KPI-je</x:v>
      </x:c>
    </x:row>
    <x:row r="59">
      <x:c r="A59" s="83" t="str">
        <x:v>DATA-055</x:v>
      </x:c>
      <x:c r="B59" s="83" t="str">
        <x:v>Enota zaloge</x:v>
      </x:c>
      <x:c r="C59" s="83" t="str">
        <x:v>serija</x:v>
      </x:c>
      <x:c r="D59" s="83" t="str">
        <x:v>WMS/ERP</x:v>
      </x:c>
      <x:c r="E59" s="83" t="str">
        <x:v>sistemski ali potrjen uporabniški vnos</x:v>
      </x:c>
      <x:c r="F59" s="83" t="str">
        <x:v>ob dogodku/spremembi</x:v>
      </x:c>
      <x:c r="G59" s="83" t="str">
        <x:v>obvezno za procesne KPI-je</x:v>
      </x:c>
    </x:row>
    <x:row r="60">
      <x:c r="A60" s="85" t="str">
        <x:v>DATA-056</x:v>
      </x:c>
      <x:c r="B60" s="85" t="str">
        <x:v>Enota zaloge</x:v>
      </x:c>
      <x:c r="C60" s="85" t="str">
        <x:v>količina</x:v>
      </x:c>
      <x:c r="D60" s="85" t="str">
        <x:v>WMS/ERP</x:v>
      </x:c>
      <x:c r="E60" s="85" t="str">
        <x:v>sistemski ali potrjen uporabniški vnos</x:v>
      </x:c>
      <x:c r="F60" s="85" t="str">
        <x:v>ob dogodku/spremembi</x:v>
      </x:c>
      <x:c r="G60" s="85" t="str">
        <x:v>obvezno za procesne KPI-je</x:v>
      </x:c>
    </x:row>
    <x:row r="61">
      <x:c r="A61" s="83" t="str">
        <x:v>DATA-057</x:v>
      </x:c>
      <x:c r="B61" s="83" t="str">
        <x:v>Enota zaloge</x:v>
      </x:c>
      <x:c r="C61" s="83" t="str">
        <x:v>status</x:v>
      </x:c>
      <x:c r="D61" s="83" t="str">
        <x:v>WMS/ERP</x:v>
      </x:c>
      <x:c r="E61" s="83" t="str">
        <x:v>sistemski ali potrjen uporabniški vnos</x:v>
      </x:c>
      <x:c r="F61" s="83" t="str">
        <x:v>ob dogodku/spremembi</x:v>
      </x:c>
      <x:c r="G61" s="83" t="str">
        <x:v>obvezno za procesne KPI-je</x:v>
      </x:c>
    </x:row>
    <x:row r="62">
      <x:c r="A62" s="85" t="str">
        <x:v>DATA-058</x:v>
      </x:c>
      <x:c r="B62" s="85" t="str">
        <x:v>Operativni dogodek</x:v>
      </x:c>
      <x:c r="C62" s="85" t="str">
        <x:v>event_id</x:v>
      </x:c>
      <x:c r="D62" s="85" t="str">
        <x:v>event hub/EPCIS</x:v>
      </x:c>
      <x:c r="E62" s="85" t="str">
        <x:v>sistemski ali potrjen uporabniški vnos</x:v>
      </x:c>
      <x:c r="F62" s="85" t="str">
        <x:v>ob dogodku/spremembi</x:v>
      </x:c>
      <x:c r="G62" s="85" t="str">
        <x:v>obvezno za procesne KPI-je</x:v>
      </x:c>
    </x:row>
    <x:row r="63">
      <x:c r="A63" s="83" t="str">
        <x:v>DATA-059</x:v>
      </x:c>
      <x:c r="B63" s="83" t="str">
        <x:v>Operativni dogodek</x:v>
      </x:c>
      <x:c r="C63" s="83" t="str">
        <x:v>tip</x:v>
      </x:c>
      <x:c r="D63" s="83" t="str">
        <x:v>event hub/EPCIS</x:v>
      </x:c>
      <x:c r="E63" s="83" t="str">
        <x:v>sistemski ali potrjen uporabniški vnos</x:v>
      </x:c>
      <x:c r="F63" s="83" t="str">
        <x:v>ob dogodku/spremembi</x:v>
      </x:c>
      <x:c r="G63" s="83" t="str">
        <x:v>obvezno za procesne KPI-je</x:v>
      </x:c>
    </x:row>
    <x:row r="64">
      <x:c r="A64" s="85" t="str">
        <x:v>DATA-060</x:v>
      </x:c>
      <x:c r="B64" s="85" t="str">
        <x:v>Operativni dogodek</x:v>
      </x:c>
      <x:c r="C64" s="85" t="str">
        <x:v>objekt</x:v>
      </x:c>
      <x:c r="D64" s="85" t="str">
        <x:v>event hub/EPCIS</x:v>
      </x:c>
      <x:c r="E64" s="85" t="str">
        <x:v>sistemski ali potrjen uporabniški vnos</x:v>
      </x:c>
      <x:c r="F64" s="85" t="str">
        <x:v>ob dogodku/spremembi</x:v>
      </x:c>
      <x:c r="G64" s="85" t="str">
        <x:v>obvezno za procesne KPI-je</x:v>
      </x:c>
    </x:row>
    <x:row r="65">
      <x:c r="A65" s="83" t="str">
        <x:v>DATA-061</x:v>
      </x:c>
      <x:c r="B65" s="83" t="str">
        <x:v>Operativni dogodek</x:v>
      </x:c>
      <x:c r="C65" s="83" t="str">
        <x:v>čas</x:v>
      </x:c>
      <x:c r="D65" s="83" t="str">
        <x:v>event hub/EPCIS</x:v>
      </x:c>
      <x:c r="E65" s="83" t="str">
        <x:v>sistemski ali potrjen uporabniški vnos</x:v>
      </x:c>
      <x:c r="F65" s="83" t="str">
        <x:v>ob dogodku/spremembi</x:v>
      </x:c>
      <x:c r="G65" s="83" t="str">
        <x:v>obvezno za procesne KPI-je</x:v>
      </x:c>
    </x:row>
    <x:row r="66">
      <x:c r="A66" s="85" t="str">
        <x:v>DATA-062</x:v>
      </x:c>
      <x:c r="B66" s="85" t="str">
        <x:v>Operativni dogodek</x:v>
      </x:c>
      <x:c r="C66" s="85" t="str">
        <x:v>lokacija</x:v>
      </x:c>
      <x:c r="D66" s="85" t="str">
        <x:v>event hub/EPCIS</x:v>
      </x:c>
      <x:c r="E66" s="85" t="str">
        <x:v>sistemski ali potrjen uporabniški vnos</x:v>
      </x:c>
      <x:c r="F66" s="85" t="str">
        <x:v>ob dogodku/spremembi</x:v>
      </x:c>
      <x:c r="G66" s="85" t="str">
        <x:v>obvezno za procesne KPI-je</x:v>
      </x:c>
    </x:row>
    <x:row r="67">
      <x:c r="A67" s="83" t="str">
        <x:v>DATA-063</x:v>
      </x:c>
      <x:c r="B67" s="83" t="str">
        <x:v>Operativni dogodek</x:v>
      </x:c>
      <x:c r="C67" s="83" t="str">
        <x:v>vir</x:v>
      </x:c>
      <x:c r="D67" s="83" t="str">
        <x:v>event hub/EPCIS</x:v>
      </x:c>
      <x:c r="E67" s="83" t="str">
        <x:v>sistemski ali potrjen uporabniški vnos</x:v>
      </x:c>
      <x:c r="F67" s="83" t="str">
        <x:v>ob dogodku/spremembi</x:v>
      </x:c>
      <x:c r="G67" s="83" t="str">
        <x:v>obvezno za procesne KPI-je</x:v>
      </x:c>
    </x:row>
    <x:row r="68">
      <x:c r="A68" s="85" t="str">
        <x:v>DATA-064</x:v>
      </x:c>
      <x:c r="B68" s="85" t="str">
        <x:v>POD/CMR</x:v>
      </x:c>
      <x:c r="C68" s="85" t="str">
        <x:v>document_id</x:v>
      </x:c>
      <x:c r="D68" s="85" t="str">
        <x:v>DMS/TMS</x:v>
      </x:c>
      <x:c r="E68" s="85" t="str">
        <x:v>sistemski ali potrjen uporabniški vnos</x:v>
      </x:c>
      <x:c r="F68" s="85" t="str">
        <x:v>ob dogodku/spremembi</x:v>
      </x:c>
      <x:c r="G68" s="85" t="str">
        <x:v>obvezno za procesne KPI-je</x:v>
      </x:c>
    </x:row>
    <x:row r="69">
      <x:c r="A69" s="83" t="str">
        <x:v>DATA-065</x:v>
      </x:c>
      <x:c r="B69" s="83" t="str">
        <x:v>POD/CMR</x:v>
      </x:c>
      <x:c r="C69" s="83" t="str">
        <x:v>shipment_id</x:v>
      </x:c>
      <x:c r="D69" s="83" t="str">
        <x:v>DMS/TMS</x:v>
      </x:c>
      <x:c r="E69" s="83" t="str">
        <x:v>sistemski ali potrjen uporabniški vnos</x:v>
      </x:c>
      <x:c r="F69" s="83" t="str">
        <x:v>ob dogodku/spremembi</x:v>
      </x:c>
      <x:c r="G69" s="83" t="str">
        <x:v>obvezno za procesne KPI-je</x:v>
      </x:c>
    </x:row>
    <x:row r="70">
      <x:c r="A70" s="85" t="str">
        <x:v>DATA-066</x:v>
      </x:c>
      <x:c r="B70" s="85" t="str">
        <x:v>POD/CMR</x:v>
      </x:c>
      <x:c r="C70" s="85" t="str">
        <x:v>podpis</x:v>
      </x:c>
      <x:c r="D70" s="85" t="str">
        <x:v>DMS/TMS</x:v>
      </x:c>
      <x:c r="E70" s="85" t="str">
        <x:v>sistemski ali potrjen uporabniški vnos</x:v>
      </x:c>
      <x:c r="F70" s="85" t="str">
        <x:v>ob dogodku/spremembi</x:v>
      </x:c>
      <x:c r="G70" s="85" t="str">
        <x:v>obvezno za procesne KPI-je</x:v>
      </x:c>
    </x:row>
    <x:row r="71">
      <x:c r="A71" s="83" t="str">
        <x:v>DATA-067</x:v>
      </x:c>
      <x:c r="B71" s="83" t="str">
        <x:v>POD/CMR</x:v>
      </x:c>
      <x:c r="C71" s="83" t="str">
        <x:v>čas</x:v>
      </x:c>
      <x:c r="D71" s="83" t="str">
        <x:v>DMS/TMS</x:v>
      </x:c>
      <x:c r="E71" s="83" t="str">
        <x:v>sistemski ali potrjen uporabniški vnos</x:v>
      </x:c>
      <x:c r="F71" s="83" t="str">
        <x:v>ob dogodku/spremembi</x:v>
      </x:c>
      <x:c r="G71" s="83" t="str">
        <x:v>obvezno za procesne KPI-je</x:v>
      </x:c>
    </x:row>
    <x:row r="72">
      <x:c r="A72" s="85" t="str">
        <x:v>DATA-068</x:v>
      </x:c>
      <x:c r="B72" s="85" t="str">
        <x:v>POD/CMR</x:v>
      </x:c>
      <x:c r="C72" s="85" t="str">
        <x:v>verzija</x:v>
      </x:c>
      <x:c r="D72" s="85" t="str">
        <x:v>DMS/TMS</x:v>
      </x:c>
      <x:c r="E72" s="85" t="str">
        <x:v>sistemski ali potrjen uporabniški vnos</x:v>
      </x:c>
      <x:c r="F72" s="85" t="str">
        <x:v>ob dogodku/spremembi</x:v>
      </x:c>
      <x:c r="G72" s="85" t="str">
        <x:v>obvezno za procesne KPI-je</x:v>
      </x:c>
    </x:row>
    <x:row r="73">
      <x:c r="A73" s="83" t="str">
        <x:v>DATA-069</x:v>
      </x:c>
      <x:c r="B73" s="83" t="str">
        <x:v>Tarifa</x:v>
      </x:c>
      <x:c r="C73" s="83" t="str">
        <x:v>rate_id</x:v>
      </x:c>
      <x:c r="D73" s="83" t="str">
        <x:v>ERP/TMS</x:v>
      </x:c>
      <x:c r="E73" s="83" t="str">
        <x:v>sistemski ali potrjen uporabniški vnos</x:v>
      </x:c>
      <x:c r="F73" s="83" t="str">
        <x:v>ob dogodku/spremembi</x:v>
      </x:c>
      <x:c r="G73" s="83" t="str">
        <x:v>obvezno za procesne KPI-je</x:v>
      </x:c>
    </x:row>
    <x:row r="74">
      <x:c r="A74" s="85" t="str">
        <x:v>DATA-070</x:v>
      </x:c>
      <x:c r="B74" s="85" t="str">
        <x:v>Tarifa</x:v>
      </x:c>
      <x:c r="C74" s="85" t="str">
        <x:v>veljavnost</x:v>
      </x:c>
      <x:c r="D74" s="85" t="str">
        <x:v>ERP/TMS</x:v>
      </x:c>
      <x:c r="E74" s="85" t="str">
        <x:v>sistemski ali potrjen uporabniški vnos</x:v>
      </x:c>
      <x:c r="F74" s="85" t="str">
        <x:v>ob dogodku/spremembi</x:v>
      </x:c>
      <x:c r="G74" s="85" t="str">
        <x:v>obvezno za procesne KPI-je</x:v>
      </x:c>
    </x:row>
    <x:row r="75">
      <x:c r="A75" s="83" t="str">
        <x:v>DATA-071</x:v>
      </x:c>
      <x:c r="B75" s="83" t="str">
        <x:v>Tarifa</x:v>
      </x:c>
      <x:c r="C75" s="83" t="str">
        <x:v>osnova</x:v>
      </x:c>
      <x:c r="D75" s="83" t="str">
        <x:v>ERP/TMS</x:v>
      </x:c>
      <x:c r="E75" s="83" t="str">
        <x:v>sistemski ali potrjen uporabniški vnos</x:v>
      </x:c>
      <x:c r="F75" s="83" t="str">
        <x:v>ob dogodku/spremembi</x:v>
      </x:c>
      <x:c r="G75" s="83" t="str">
        <x:v>obvezno za procesne KPI-je</x:v>
      </x:c>
    </x:row>
    <x:row r="76">
      <x:c r="A76" s="85" t="str">
        <x:v>DATA-072</x:v>
      </x:c>
      <x:c r="B76" s="85" t="str">
        <x:v>Tarifa</x:v>
      </x:c>
      <x:c r="C76" s="85" t="str">
        <x:v>dodatki</x:v>
      </x:c>
      <x:c r="D76" s="85" t="str">
        <x:v>ERP/TMS</x:v>
      </x:c>
      <x:c r="E76" s="85" t="str">
        <x:v>sistemski ali potrjen uporabniški vnos</x:v>
      </x:c>
      <x:c r="F76" s="85" t="str">
        <x:v>ob dogodku/spremembi</x:v>
      </x:c>
      <x:c r="G76" s="85" t="str">
        <x:v>obvezno za procesne KPI-je</x:v>
      </x:c>
    </x:row>
    <x:row r="77">
      <x:c r="A77" s="83" t="str">
        <x:v>DATA-073</x:v>
      </x:c>
      <x:c r="B77" s="83" t="str">
        <x:v>Tarifa</x:v>
      </x:c>
      <x:c r="C77" s="83" t="str">
        <x:v>valute</x:v>
      </x:c>
      <x:c r="D77" s="83" t="str">
        <x:v>ERP/TMS</x:v>
      </x:c>
      <x:c r="E77" s="83" t="str">
        <x:v>sistemski ali potrjen uporabniški vnos</x:v>
      </x:c>
      <x:c r="F77" s="83" t="str">
        <x:v>ob dogodku/spremembi</x:v>
      </x:c>
      <x:c r="G77" s="83" t="str">
        <x:v>obvezno za procesne KPI-je</x:v>
      </x:c>
    </x:row>
    <x:row r="78">
      <x:c r="A78" s="85" t="str">
        <x:v>DATA-074</x:v>
      </x:c>
      <x:c r="B78" s="85" t="str">
        <x:v>Stroškovni dogodek</x:v>
      </x:c>
      <x:c r="C78" s="85" t="str">
        <x:v>cost_id</x:v>
      </x:c>
      <x:c r="D78" s="85" t="str">
        <x:v>ERP</x:v>
      </x:c>
      <x:c r="E78" s="85" t="str">
        <x:v>sistemski ali potrjen uporabniški vnos</x:v>
      </x:c>
      <x:c r="F78" s="85" t="str">
        <x:v>ob dogodku/spremembi</x:v>
      </x:c>
      <x:c r="G78" s="85" t="str">
        <x:v>obvezno za procesne KPI-je</x:v>
      </x:c>
    </x:row>
    <x:row r="79">
      <x:c r="A79" s="83" t="str">
        <x:v>DATA-075</x:v>
      </x:c>
      <x:c r="B79" s="83" t="str">
        <x:v>Stroškovni dogodek</x:v>
      </x:c>
      <x:c r="C79" s="83" t="str">
        <x:v>objekt</x:v>
      </x:c>
      <x:c r="D79" s="83" t="str">
        <x:v>ERP</x:v>
      </x:c>
      <x:c r="E79" s="83" t="str">
        <x:v>sistemski ali potrjen uporabniški vnos</x:v>
      </x:c>
      <x:c r="F79" s="83" t="str">
        <x:v>ob dogodku/spremembi</x:v>
      </x:c>
      <x:c r="G79" s="83" t="str">
        <x:v>obvezno za procesne KPI-je</x:v>
      </x:c>
    </x:row>
    <x:row r="80">
      <x:c r="A80" s="85" t="str">
        <x:v>DATA-076</x:v>
      </x:c>
      <x:c r="B80" s="85" t="str">
        <x:v>Stroškovni dogodek</x:v>
      </x:c>
      <x:c r="C80" s="85" t="str">
        <x:v>kategorija</x:v>
      </x:c>
      <x:c r="D80" s="85" t="str">
        <x:v>ERP</x:v>
      </x:c>
      <x:c r="E80" s="85" t="str">
        <x:v>sistemski ali potrjen uporabniški vnos</x:v>
      </x:c>
      <x:c r="F80" s="85" t="str">
        <x:v>ob dogodku/spremembi</x:v>
      </x:c>
      <x:c r="G80" s="85" t="str">
        <x:v>obvezno za procesne KPI-je</x:v>
      </x:c>
    </x:row>
    <x:row r="81">
      <x:c r="A81" s="83" t="str">
        <x:v>DATA-077</x:v>
      </x:c>
      <x:c r="B81" s="83" t="str">
        <x:v>Stroškovni dogodek</x:v>
      </x:c>
      <x:c r="C81" s="83" t="str">
        <x:v>znesek</x:v>
      </x:c>
      <x:c r="D81" s="83" t="str">
        <x:v>ERP</x:v>
      </x:c>
      <x:c r="E81" s="83" t="str">
        <x:v>sistemski ali potrjen uporabniški vnos</x:v>
      </x:c>
      <x:c r="F81" s="83" t="str">
        <x:v>ob dogodku/spremembi</x:v>
      </x:c>
      <x:c r="G81" s="83" t="str">
        <x:v>obvezno za procesne KPI-je</x:v>
      </x:c>
    </x:row>
    <x:row r="82">
      <x:c r="A82" s="85" t="str">
        <x:v>DATA-078</x:v>
      </x:c>
      <x:c r="B82" s="85" t="str">
        <x:v>Stroškovni dogodek</x:v>
      </x:c>
      <x:c r="C82" s="85" t="str">
        <x:v>dokazilo</x:v>
      </x:c>
      <x:c r="D82" s="85" t="str">
        <x:v>ERP</x:v>
      </x:c>
      <x:c r="E82" s="85" t="str">
        <x:v>sistemski ali potrjen uporabniški vnos</x:v>
      </x:c>
      <x:c r="F82" s="85" t="str">
        <x:v>ob dogodku/spremembi</x:v>
      </x:c>
      <x:c r="G82" s="85" t="str">
        <x:v>obvezno za procesne KPI-je</x:v>
      </x:c>
    </x:row>
    <x:row r="83">
      <x:c r="A83" s="83" t="str">
        <x:v>DATA-079</x:v>
      </x:c>
      <x:c r="B83" s="83" t="str">
        <x:v>Račun</x:v>
      </x:c>
      <x:c r="C83" s="83" t="str">
        <x:v>invoice_id</x:v>
      </x:c>
      <x:c r="D83" s="83" t="str">
        <x:v>ERP</x:v>
      </x:c>
      <x:c r="E83" s="83" t="str">
        <x:v>sistemski ali potrjen uporabniški vnos</x:v>
      </x:c>
      <x:c r="F83" s="83" t="str">
        <x:v>ob dogodku/spremembi</x:v>
      </x:c>
      <x:c r="G83" s="83" t="str">
        <x:v>obvezno za procesne KPI-je</x:v>
      </x:c>
    </x:row>
    <x:row r="84">
      <x:c r="A84" s="85" t="str">
        <x:v>DATA-080</x:v>
      </x:c>
      <x:c r="B84" s="85" t="str">
        <x:v>Račun</x:v>
      </x:c>
      <x:c r="C84" s="85" t="str">
        <x:v>partner</x:v>
      </x:c>
      <x:c r="D84" s="85" t="str">
        <x:v>ERP</x:v>
      </x:c>
      <x:c r="E84" s="85" t="str">
        <x:v>sistemski ali potrjen uporabniški vnos</x:v>
      </x:c>
      <x:c r="F84" s="85" t="str">
        <x:v>ob dogodku/spremembi</x:v>
      </x:c>
      <x:c r="G84" s="85" t="str">
        <x:v>obvezno za procesne KPI-je</x:v>
      </x:c>
    </x:row>
    <x:row r="85">
      <x:c r="A85" s="83" t="str">
        <x:v>DATA-081</x:v>
      </x:c>
      <x:c r="B85" s="83" t="str">
        <x:v>Račun</x:v>
      </x:c>
      <x:c r="C85" s="83" t="str">
        <x:v>postavke</x:v>
      </x:c>
      <x:c r="D85" s="83" t="str">
        <x:v>ERP</x:v>
      </x:c>
      <x:c r="E85" s="83" t="str">
        <x:v>sistemski ali potrjen uporabniški vnos</x:v>
      </x:c>
      <x:c r="F85" s="83" t="str">
        <x:v>ob dogodku/spremembi</x:v>
      </x:c>
      <x:c r="G85" s="83" t="str">
        <x:v>obvezno za procesne KPI-je</x:v>
      </x:c>
    </x:row>
    <x:row r="86">
      <x:c r="A86" s="85" t="str">
        <x:v>DATA-082</x:v>
      </x:c>
      <x:c r="B86" s="85" t="str">
        <x:v>Račun</x:v>
      </x:c>
      <x:c r="C86" s="85" t="str">
        <x:v>davki</x:v>
      </x:c>
      <x:c r="D86" s="85" t="str">
        <x:v>ERP</x:v>
      </x:c>
      <x:c r="E86" s="85" t="str">
        <x:v>sistemski ali potrjen uporabniški vnos</x:v>
      </x:c>
      <x:c r="F86" s="85" t="str">
        <x:v>ob dogodku/spremembi</x:v>
      </x:c>
      <x:c r="G86" s="85" t="str">
        <x:v>obvezno za procesne KPI-je</x:v>
      </x:c>
    </x:row>
    <x:row r="87">
      <x:c r="A87" s="83" t="str">
        <x:v>DATA-083</x:v>
      </x:c>
      <x:c r="B87" s="83" t="str">
        <x:v>Račun</x:v>
      </x:c>
      <x:c r="C87" s="83" t="str">
        <x:v>roki</x:v>
      </x:c>
      <x:c r="D87" s="83" t="str">
        <x:v>ERP</x:v>
      </x:c>
      <x:c r="E87" s="83" t="str">
        <x:v>sistemski ali potrjen uporabniški vnos</x:v>
      </x:c>
      <x:c r="F87" s="83" t="str">
        <x:v>ob dogodku/spremembi</x:v>
      </x:c>
      <x:c r="G87" s="83" t="str">
        <x:v>obvezno za procesne KPI-je</x:v>
      </x:c>
    </x:row>
    <x:row r="88">
      <x:c r="A88" s="85" t="str">
        <x:v>DATA-084</x:v>
      </x:c>
      <x:c r="B88" s="85" t="str">
        <x:v>Račun</x:v>
      </x:c>
      <x:c r="C88" s="85" t="str">
        <x:v>status</x:v>
      </x:c>
      <x:c r="D88" s="85" t="str">
        <x:v>ERP</x:v>
      </x:c>
      <x:c r="E88" s="85" t="str">
        <x:v>sistemski ali potrjen uporabniški vnos</x:v>
      </x:c>
      <x:c r="F88" s="85" t="str">
        <x:v>ob dogodku/spremembi</x:v>
      </x:c>
      <x:c r="G88" s="85" t="str">
        <x:v>obvezno za procesne KPI-je</x:v>
      </x:c>
    </x:row>
    <x:row r="89">
      <x:c r="A89" s="83" t="str">
        <x:v>DATA-085</x:v>
      </x:c>
      <x:c r="B89" s="83" t="str">
        <x:v>Reklamacija</x:v>
      </x:c>
      <x:c r="C89" s="83" t="str">
        <x:v>claim_id</x:v>
      </x:c>
      <x:c r="D89" s="83" t="str">
        <x:v>CRM/ERP</x:v>
      </x:c>
      <x:c r="E89" s="83" t="str">
        <x:v>sistemski ali potrjen uporabniški vnos</x:v>
      </x:c>
      <x:c r="F89" s="83" t="str">
        <x:v>ob dogodku/spremembi</x:v>
      </x:c>
      <x:c r="G89" s="83" t="str">
        <x:v>obvezno za procesne KPI-je</x:v>
      </x:c>
    </x:row>
    <x:row r="90">
      <x:c r="A90" s="85" t="str">
        <x:v>DATA-086</x:v>
      </x:c>
      <x:c r="B90" s="85" t="str">
        <x:v>Reklamacija</x:v>
      </x:c>
      <x:c r="C90" s="85" t="str">
        <x:v>vzrok</x:v>
      </x:c>
      <x:c r="D90" s="85" t="str">
        <x:v>CRM/ERP</x:v>
      </x:c>
      <x:c r="E90" s="85" t="str">
        <x:v>sistemski ali potrjen uporabniški vnos</x:v>
      </x:c>
      <x:c r="F90" s="85" t="str">
        <x:v>ob dogodku/spremembi</x:v>
      </x:c>
      <x:c r="G90" s="85" t="str">
        <x:v>obvezno za procesne KPI-je</x:v>
      </x:c>
    </x:row>
    <x:row r="91">
      <x:c r="A91" s="83" t="str">
        <x:v>DATA-087</x:v>
      </x:c>
      <x:c r="B91" s="83" t="str">
        <x:v>Reklamacija</x:v>
      </x:c>
      <x:c r="C91" s="83" t="str">
        <x:v>odgovornost</x:v>
      </x:c>
      <x:c r="D91" s="83" t="str">
        <x:v>CRM/ERP</x:v>
      </x:c>
      <x:c r="E91" s="83" t="str">
        <x:v>sistemski ali potrjen uporabniški vnos</x:v>
      </x:c>
      <x:c r="F91" s="83" t="str">
        <x:v>ob dogodku/spremembi</x:v>
      </x:c>
      <x:c r="G91" s="83" t="str">
        <x:v>obvezno za procesne KPI-je</x:v>
      </x:c>
    </x:row>
    <x:row r="92">
      <x:c r="A92" s="85" t="str">
        <x:v>DATA-088</x:v>
      </x:c>
      <x:c r="B92" s="85" t="str">
        <x:v>Reklamacija</x:v>
      </x:c>
      <x:c r="C92" s="85" t="str">
        <x:v>zneski</x:v>
      </x:c>
      <x:c r="D92" s="85" t="str">
        <x:v>CRM/ERP</x:v>
      </x:c>
      <x:c r="E92" s="85" t="str">
        <x:v>sistemski ali potrjen uporabniški vnos</x:v>
      </x:c>
      <x:c r="F92" s="85" t="str">
        <x:v>ob dogodku/spremembi</x:v>
      </x:c>
      <x:c r="G92" s="85" t="str">
        <x:v>obvezno za procesne KPI-je</x:v>
      </x:c>
    </x:row>
    <x:row r="93">
      <x:c r="A93" s="83" t="str">
        <x:v>DATA-089</x:v>
      </x:c>
      <x:c r="B93" s="83" t="str">
        <x:v>Reklamacija</x:v>
      </x:c>
      <x:c r="C93" s="83" t="str">
        <x:v>dokazila</x:v>
      </x:c>
      <x:c r="D93" s="83" t="str">
        <x:v>CRM/ERP</x:v>
      </x:c>
      <x:c r="E93" s="83" t="str">
        <x:v>sistemski ali potrjen uporabniški vnos</x:v>
      </x:c>
      <x:c r="F93" s="83" t="str">
        <x:v>ob dogodku/spremembi</x:v>
      </x:c>
      <x:c r="G93" s="83" t="str">
        <x:v>obvezno za procesne KPI-je</x:v>
      </x:c>
    </x:row>
    <x:row r="94">
      <x:c r="A94" s="85" t="str">
        <x:v>DATA-090</x:v>
      </x:c>
      <x:c r="B94" s="85" t="str">
        <x:v>Meritev temperature</x:v>
      </x:c>
      <x:c r="C94" s="85" t="str">
        <x:v>sensor_id</x:v>
      </x:c>
      <x:c r="D94" s="85" t="str">
        <x:v>IoT/QMS</x:v>
      </x:c>
      <x:c r="E94" s="85" t="str">
        <x:v>sistemski ali potrjen uporabniški vnos</x:v>
      </x:c>
      <x:c r="F94" s="85" t="str">
        <x:v>ob dogodku/spremembi</x:v>
      </x:c>
      <x:c r="G94" s="85" t="str">
        <x:v>obvezno za procesne KPI-je</x:v>
      </x:c>
    </x:row>
    <x:row r="95">
      <x:c r="A95" s="83" t="str">
        <x:v>DATA-091</x:v>
      </x:c>
      <x:c r="B95" s="83" t="str">
        <x:v>Meritev temperature</x:v>
      </x:c>
      <x:c r="C95" s="83" t="str">
        <x:v>shipment/SSCC</x:v>
      </x:c>
      <x:c r="D95" s="83" t="str">
        <x:v>IoT/QMS</x:v>
      </x:c>
      <x:c r="E95" s="83" t="str">
        <x:v>sistemski ali potrjen uporabniški vnos</x:v>
      </x:c>
      <x:c r="F95" s="83" t="str">
        <x:v>ob dogodku/spremembi</x:v>
      </x:c>
      <x:c r="G95" s="83" t="str">
        <x:v>obvezno za procesne KPI-je</x:v>
      </x:c>
    </x:row>
    <x:row r="96">
      <x:c r="A96" s="85" t="str">
        <x:v>DATA-092</x:v>
      </x:c>
      <x:c r="B96" s="85" t="str">
        <x:v>Meritev temperature</x:v>
      </x:c>
      <x:c r="C96" s="85" t="str">
        <x:v>čas</x:v>
      </x:c>
      <x:c r="D96" s="85" t="str">
        <x:v>IoT/QMS</x:v>
      </x:c>
      <x:c r="E96" s="85" t="str">
        <x:v>sistemski ali potrjen uporabniški vnos</x:v>
      </x:c>
      <x:c r="F96" s="85" t="str">
        <x:v>ob dogodku/spremembi</x:v>
      </x:c>
      <x:c r="G96" s="85" t="str">
        <x:v>obvezno za procesne KPI-je</x:v>
      </x:c>
    </x:row>
    <x:row r="97">
      <x:c r="A97" s="83" t="str">
        <x:v>DATA-093</x:v>
      </x:c>
      <x:c r="B97" s="83" t="str">
        <x:v>Meritev temperature</x:v>
      </x:c>
      <x:c r="C97" s="83" t="str">
        <x:v>vrednost</x:v>
      </x:c>
      <x:c r="D97" s="83" t="str">
        <x:v>IoT/QMS</x:v>
      </x:c>
      <x:c r="E97" s="83" t="str">
        <x:v>sistemski ali potrjen uporabniški vnos</x:v>
      </x:c>
      <x:c r="F97" s="83" t="str">
        <x:v>ob dogodku/spremembi</x:v>
      </x:c>
      <x:c r="G97" s="83" t="str">
        <x:v>obvezno za procesne KPI-je</x:v>
      </x:c>
    </x:row>
    <x:row r="98">
      <x:c r="A98" s="85" t="str">
        <x:v>DATA-094</x:v>
      </x:c>
      <x:c r="B98" s="85" t="str">
        <x:v>Meritev temperature</x:v>
      </x:c>
      <x:c r="C98" s="85" t="str">
        <x:v>alarm</x:v>
      </x:c>
      <x:c r="D98" s="85" t="str">
        <x:v>IoT/QMS</x:v>
      </x:c>
      <x:c r="E98" s="85" t="str">
        <x:v>sistemski ali potrjen uporabniški vnos</x:v>
      </x:c>
      <x:c r="F98" s="85" t="str">
        <x:v>ob dogodku/spremembi</x:v>
      </x:c>
      <x:c r="G98" s="85" t="str">
        <x:v>obvezno za procesne KPI-je</x:v>
      </x:c>
    </x:row>
    <x:row r="99">
      <x:c r="A99" s="83" t="str">
        <x:v>DATA-095</x:v>
      </x:c>
      <x:c r="B99" s="83" t="str">
        <x:v>Integracijsko sporočilo</x:v>
      </x:c>
      <x:c r="C99" s="83" t="str">
        <x:v>message_id</x:v>
      </x:c>
      <x:c r="D99" s="83" t="str">
        <x:v>iPaaS/log</x:v>
      </x:c>
      <x:c r="E99" s="83" t="str">
        <x:v>sistemski ali potrjen uporabniški vnos</x:v>
      </x:c>
      <x:c r="F99" s="83" t="str">
        <x:v>ob dogodku/spremembi</x:v>
      </x:c>
      <x:c r="G99" s="83" t="str">
        <x:v>obvezno za procesne KPI-je</x:v>
      </x:c>
    </x:row>
    <x:row r="100">
      <x:c r="A100" s="85" t="str">
        <x:v>DATA-096</x:v>
      </x:c>
      <x:c r="B100" s="85" t="str">
        <x:v>Integracijsko sporočilo</x:v>
      </x:c>
      <x:c r="C100" s="85" t="str">
        <x:v>sistem</x:v>
      </x:c>
      <x:c r="D100" s="85" t="str">
        <x:v>iPaaS/log</x:v>
      </x:c>
      <x:c r="E100" s="85" t="str">
        <x:v>sistemski ali potrjen uporabniški vnos</x:v>
      </x:c>
      <x:c r="F100" s="85" t="str">
        <x:v>ob dogodku/spremembi</x:v>
      </x:c>
      <x:c r="G100" s="85" t="str">
        <x:v>obvezno za procesne KPI-je</x:v>
      </x:c>
    </x:row>
    <x:row r="101">
      <x:c r="A101" s="83" t="str">
        <x:v>DATA-097</x:v>
      </x:c>
      <x:c r="B101" s="83" t="str">
        <x:v>Integracijsko sporočilo</x:v>
      </x:c>
      <x:c r="C101" s="83" t="str">
        <x:v>korelacija</x:v>
      </x:c>
      <x:c r="D101" s="83" t="str">
        <x:v>iPaaS/log</x:v>
      </x:c>
      <x:c r="E101" s="83" t="str">
        <x:v>sistemski ali potrjen uporabniški vnos</x:v>
      </x:c>
      <x:c r="F101" s="83" t="str">
        <x:v>ob dogodku/spremembi</x:v>
      </x:c>
      <x:c r="G101" s="83" t="str">
        <x:v>obvezno za procesne KPI-je</x:v>
      </x:c>
    </x:row>
    <x:row r="102">
      <x:c r="A102" s="85" t="str">
        <x:v>DATA-098</x:v>
      </x:c>
      <x:c r="B102" s="85" t="str">
        <x:v>Integracijsko sporočilo</x:v>
      </x:c>
      <x:c r="C102" s="85" t="str">
        <x:v>status</x:v>
      </x:c>
      <x:c r="D102" s="85" t="str">
        <x:v>iPaaS/log</x:v>
      </x:c>
      <x:c r="E102" s="85" t="str">
        <x:v>sistemski ali potrjen uporabniški vnos</x:v>
      </x:c>
      <x:c r="F102" s="85" t="str">
        <x:v>ob dogodku/spremembi</x:v>
      </x:c>
      <x:c r="G102" s="85" t="str">
        <x:v>obvezno za procesne KPI-je</x:v>
      </x:c>
    </x:row>
    <x:row r="103">
      <x:c r="A103" s="83" t="str">
        <x:v>DATA-099</x:v>
      </x:c>
      <x:c r="B103" s="83" t="str">
        <x:v>Integracijsko sporočilo</x:v>
      </x:c>
      <x:c r="C103" s="83" t="str">
        <x:v>napaka</x:v>
      </x:c>
      <x:c r="D103" s="83" t="str">
        <x:v>iPaaS/log</x:v>
      </x:c>
      <x:c r="E103" s="83" t="str">
        <x:v>sistemski ali potrjen uporabniški vnos</x:v>
      </x:c>
      <x:c r="F103" s="83" t="str">
        <x:v>ob dogodku/spremembi</x:v>
      </x:c>
      <x:c r="G103" s="83" t="str">
        <x:v>obvezno za procesne KPI-je</x:v>
      </x:c>
    </x:row>
    <x:row r="104">
      <x:c r="A104" s="85" t="str">
        <x:v>DATA-100</x:v>
      </x:c>
      <x:c r="B104" s="85" t="str">
        <x:v>Dogodek</x:v>
      </x:c>
      <x:c r="C104" s="85" t="str">
        <x:v>order.created</x:v>
      </x:c>
      <x:c r="D104" s="85" t="str">
        <x:v>procesni sistem/event hub</x:v>
      </x:c>
      <x:c r="E104" s="85" t="str">
        <x:v>samodejno, z actor/source ID</x:v>
      </x:c>
      <x:c r="F104" s="85" t="str">
        <x:v>real-time</x:v>
      </x:c>
      <x:c r="G104" s="85" t="str">
        <x:v>čas, objekt in korelacijski ID obvezni</x:v>
      </x:c>
    </x:row>
    <x:row r="105">
      <x:c r="A105" s="83" t="str">
        <x:v>DATA-101</x:v>
      </x:c>
      <x:c r="B105" s="83" t="str">
        <x:v>Dogodek</x:v>
      </x:c>
      <x:c r="C105" s="83" t="str">
        <x:v>order.confirmed</x:v>
      </x:c>
      <x:c r="D105" s="83" t="str">
        <x:v>procesni sistem/event hub</x:v>
      </x:c>
      <x:c r="E105" s="83" t="str">
        <x:v>samodejno, z actor/source ID</x:v>
      </x:c>
      <x:c r="F105" s="83" t="str">
        <x:v>real-time</x:v>
      </x:c>
      <x:c r="G105" s="83" t="str">
        <x:v>čas, objekt in korelacijski ID obvezni</x:v>
      </x:c>
    </x:row>
    <x:row r="106">
      <x:c r="A106" s="85" t="str">
        <x:v>DATA-102</x:v>
      </x:c>
      <x:c r="B106" s="85" t="str">
        <x:v>Dogodek</x:v>
      </x:c>
      <x:c r="C106" s="85" t="str">
        <x:v>shipment.planned</x:v>
      </x:c>
      <x:c r="D106" s="85" t="str">
        <x:v>procesni sistem/event hub</x:v>
      </x:c>
      <x:c r="E106" s="85" t="str">
        <x:v>samodejno, z actor/source ID</x:v>
      </x:c>
      <x:c r="F106" s="85" t="str">
        <x:v>real-time</x:v>
      </x:c>
      <x:c r="G106" s="85" t="str">
        <x:v>čas, objekt in korelacijski ID obvezni</x:v>
      </x:c>
    </x:row>
    <x:row r="107">
      <x:c r="A107" s="83" t="str">
        <x:v>DATA-103</x:v>
      </x:c>
      <x:c r="B107" s="83" t="str">
        <x:v>Dogodek</x:v>
      </x:c>
      <x:c r="C107" s="83" t="str">
        <x:v>carrier.accepted</x:v>
      </x:c>
      <x:c r="D107" s="83" t="str">
        <x:v>procesni sistem/event hub</x:v>
      </x:c>
      <x:c r="E107" s="83" t="str">
        <x:v>samodejno, z actor/source ID</x:v>
      </x:c>
      <x:c r="F107" s="83" t="str">
        <x:v>real-time</x:v>
      </x:c>
      <x:c r="G107" s="83" t="str">
        <x:v>čas, objekt in korelacijski ID obvezni</x:v>
      </x:c>
    </x:row>
    <x:row r="108">
      <x:c r="A108" s="85" t="str">
        <x:v>DATA-104</x:v>
      </x:c>
      <x:c r="B108" s="85" t="str">
        <x:v>Dogodek</x:v>
      </x:c>
      <x:c r="C108" s="85" t="str">
        <x:v>vehicle.assigned</x:v>
      </x:c>
      <x:c r="D108" s="85" t="str">
        <x:v>procesni sistem/event hub</x:v>
      </x:c>
      <x:c r="E108" s="85" t="str">
        <x:v>samodejno, z actor/source ID</x:v>
      </x:c>
      <x:c r="F108" s="85" t="str">
        <x:v>real-time</x:v>
      </x:c>
      <x:c r="G108" s="85" t="str">
        <x:v>čas, objekt in korelacijski ID obvezni</x:v>
      </x:c>
    </x:row>
    <x:row r="109">
      <x:c r="A109" s="83" t="str">
        <x:v>DATA-105</x:v>
      </x:c>
      <x:c r="B109" s="83" t="str">
        <x:v>Dogodek</x:v>
      </x:c>
      <x:c r="C109" s="83" t="str">
        <x:v>pickup.arrived</x:v>
      </x:c>
      <x:c r="D109" s="83" t="str">
        <x:v>procesni sistem/event hub</x:v>
      </x:c>
      <x:c r="E109" s="83" t="str">
        <x:v>samodejno, z actor/source ID</x:v>
      </x:c>
      <x:c r="F109" s="83" t="str">
        <x:v>real-time</x:v>
      </x:c>
      <x:c r="G109" s="83" t="str">
        <x:v>čas, objekt in korelacijski ID obvezni</x:v>
      </x:c>
    </x:row>
    <x:row r="110">
      <x:c r="A110" s="85" t="str">
        <x:v>DATA-106</x:v>
      </x:c>
      <x:c r="B110" s="85" t="str">
        <x:v>Dogodek</x:v>
      </x:c>
      <x:c r="C110" s="85" t="str">
        <x:v>pickup.completed</x:v>
      </x:c>
      <x:c r="D110" s="85" t="str">
        <x:v>procesni sistem/event hub</x:v>
      </x:c>
      <x:c r="E110" s="85" t="str">
        <x:v>samodejno, z actor/source ID</x:v>
      </x:c>
      <x:c r="F110" s="85" t="str">
        <x:v>real-time</x:v>
      </x:c>
      <x:c r="G110" s="85" t="str">
        <x:v>čas, objekt in korelacijski ID obvezni</x:v>
      </x:c>
    </x:row>
    <x:row r="111">
      <x:c r="A111" s="83" t="str">
        <x:v>DATA-107</x:v>
      </x:c>
      <x:c r="B111" s="83" t="str">
        <x:v>Dogodek</x:v>
      </x:c>
      <x:c r="C111" s="83" t="str">
        <x:v>in_transit.location</x:v>
      </x:c>
      <x:c r="D111" s="83" t="str">
        <x:v>procesni sistem/event hub</x:v>
      </x:c>
      <x:c r="E111" s="83" t="str">
        <x:v>samodejno, z actor/source ID</x:v>
      </x:c>
      <x:c r="F111" s="83" t="str">
        <x:v>real-time</x:v>
      </x:c>
      <x:c r="G111" s="83" t="str">
        <x:v>čas, objekt in korelacijski ID obvezni</x:v>
      </x:c>
    </x:row>
    <x:row r="112">
      <x:c r="A112" s="85" t="str">
        <x:v>DATA-108</x:v>
      </x:c>
      <x:c r="B112" s="85" t="str">
        <x:v>Dogodek</x:v>
      </x:c>
      <x:c r="C112" s="85" t="str">
        <x:v>exception.raised</x:v>
      </x:c>
      <x:c r="D112" s="85" t="str">
        <x:v>procesni sistem/event hub</x:v>
      </x:c>
      <x:c r="E112" s="85" t="str">
        <x:v>samodejno, z actor/source ID</x:v>
      </x:c>
      <x:c r="F112" s="85" t="str">
        <x:v>real-time</x:v>
      </x:c>
      <x:c r="G112" s="85" t="str">
        <x:v>čas, objekt in korelacijski ID obvezni</x:v>
      </x:c>
    </x:row>
    <x:row r="113">
      <x:c r="A113" s="83" t="str">
        <x:v>DATA-109</x:v>
      </x:c>
      <x:c r="B113" s="83" t="str">
        <x:v>Dogodek</x:v>
      </x:c>
      <x:c r="C113" s="83" t="str">
        <x:v>delivery.arrived</x:v>
      </x:c>
      <x:c r="D113" s="83" t="str">
        <x:v>procesni sistem/event hub</x:v>
      </x:c>
      <x:c r="E113" s="83" t="str">
        <x:v>samodejno, z actor/source ID</x:v>
      </x:c>
      <x:c r="F113" s="83" t="str">
        <x:v>real-time</x:v>
      </x:c>
      <x:c r="G113" s="83" t="str">
        <x:v>čas, objekt in korelacijski ID obvezni</x:v>
      </x:c>
    </x:row>
    <x:row r="114">
      <x:c r="A114" s="85" t="str">
        <x:v>DATA-110</x:v>
      </x:c>
      <x:c r="B114" s="85" t="str">
        <x:v>Dogodek</x:v>
      </x:c>
      <x:c r="C114" s="85" t="str">
        <x:v>delivery.completed</x:v>
      </x:c>
      <x:c r="D114" s="85" t="str">
        <x:v>procesni sistem/event hub</x:v>
      </x:c>
      <x:c r="E114" s="85" t="str">
        <x:v>samodejno, z actor/source ID</x:v>
      </x:c>
      <x:c r="F114" s="85" t="str">
        <x:v>real-time</x:v>
      </x:c>
      <x:c r="G114" s="85" t="str">
        <x:v>čas, objekt in korelacijski ID obvezni</x:v>
      </x:c>
    </x:row>
    <x:row r="115">
      <x:c r="A115" s="83" t="str">
        <x:v>DATA-111</x:v>
      </x:c>
      <x:c r="B115" s="83" t="str">
        <x:v>Dogodek</x:v>
      </x:c>
      <x:c r="C115" s="83" t="str">
        <x:v>pod.received</x:v>
      </x:c>
      <x:c r="D115" s="83" t="str">
        <x:v>procesni sistem/event hub</x:v>
      </x:c>
      <x:c r="E115" s="83" t="str">
        <x:v>samodejno, z actor/source ID</x:v>
      </x:c>
      <x:c r="F115" s="83" t="str">
        <x:v>real-time</x:v>
      </x:c>
      <x:c r="G115" s="83" t="str">
        <x:v>čas, objekt in korelacijski ID obvezni</x:v>
      </x:c>
    </x:row>
    <x:row r="116">
      <x:c r="A116" s="85" t="str">
        <x:v>DATA-112</x:v>
      </x:c>
      <x:c r="B116" s="85" t="str">
        <x:v>Dogodek</x:v>
      </x:c>
      <x:c r="C116" s="85" t="str">
        <x:v>invoice.eligible</x:v>
      </x:c>
      <x:c r="D116" s="85" t="str">
        <x:v>procesni sistem/event hub</x:v>
      </x:c>
      <x:c r="E116" s="85" t="str">
        <x:v>samodejno, z actor/source ID</x:v>
      </x:c>
      <x:c r="F116" s="85" t="str">
        <x:v>real-time</x:v>
      </x:c>
      <x:c r="G116" s="85" t="str">
        <x:v>čas, objekt in korelacijski ID obvezni</x:v>
      </x:c>
    </x:row>
    <x:row r="117">
      <x:c r="A117" s="83" t="str">
        <x:v>DATA-113</x:v>
      </x:c>
      <x:c r="B117" s="83" t="str">
        <x:v>Dogodek</x:v>
      </x:c>
      <x:c r="C117" s="83" t="str">
        <x:v>invoice.issued</x:v>
      </x:c>
      <x:c r="D117" s="83" t="str">
        <x:v>procesni sistem/event hub</x:v>
      </x:c>
      <x:c r="E117" s="83" t="str">
        <x:v>samodejno, z actor/source ID</x:v>
      </x:c>
      <x:c r="F117" s="83" t="str">
        <x:v>real-time</x:v>
      </x:c>
      <x:c r="G117" s="83" t="str">
        <x:v>čas, objekt in korelacijski ID obvezni</x:v>
      </x:c>
    </x:row>
    <x:row r="118">
      <x:c r="A118" s="85" t="str">
        <x:v>DATA-114</x:v>
      </x:c>
      <x:c r="B118" s="85" t="str">
        <x:v>Dogodek</x:v>
      </x:c>
      <x:c r="C118" s="85" t="str">
        <x:v>payment.received</x:v>
      </x:c>
      <x:c r="D118" s="85" t="str">
        <x:v>procesni sistem/event hub</x:v>
      </x:c>
      <x:c r="E118" s="85" t="str">
        <x:v>samodejno, z actor/source ID</x:v>
      </x:c>
      <x:c r="F118" s="85" t="str">
        <x:v>real-time</x:v>
      </x:c>
      <x:c r="G118" s="85" t="str">
        <x:v>čas, objekt in korelacijski ID obvezni</x:v>
      </x:c>
    </x:row>
    <x:row r="119">
      <x:c r="A119" s="83" t="str">
        <x:v>DATA-115</x:v>
      </x:c>
      <x:c r="B119" s="83" t="str">
        <x:v>Dogodek</x:v>
      </x:c>
      <x:c r="C119" s="83" t="str">
        <x:v>asn.received</x:v>
      </x:c>
      <x:c r="D119" s="83" t="str">
        <x:v>procesni sistem/event hub</x:v>
      </x:c>
      <x:c r="E119" s="83" t="str">
        <x:v>samodejno, z actor/source ID</x:v>
      </x:c>
      <x:c r="F119" s="83" t="str">
        <x:v>real-time</x:v>
      </x:c>
      <x:c r="G119" s="83" t="str">
        <x:v>čas, objekt in korelacijski ID obvezni</x:v>
      </x:c>
    </x:row>
    <x:row r="120">
      <x:c r="A120" s="85" t="str">
        <x:v>DATA-116</x:v>
      </x:c>
      <x:c r="B120" s="85" t="str">
        <x:v>Dogodek</x:v>
      </x:c>
      <x:c r="C120" s="85" t="str">
        <x:v>dock.assigned</x:v>
      </x:c>
      <x:c r="D120" s="85" t="str">
        <x:v>procesni sistem/event hub</x:v>
      </x:c>
      <x:c r="E120" s="85" t="str">
        <x:v>samodejno, z actor/source ID</x:v>
      </x:c>
      <x:c r="F120" s="85" t="str">
        <x:v>real-time</x:v>
      </x:c>
      <x:c r="G120" s="85" t="str">
        <x:v>čas, objekt in korelacijski ID obvezni</x:v>
      </x:c>
    </x:row>
    <x:row r="121">
      <x:c r="A121" s="83" t="str">
        <x:v>DATA-117</x:v>
      </x:c>
      <x:c r="B121" s="83" t="str">
        <x:v>Dogodek</x:v>
      </x:c>
      <x:c r="C121" s="83" t="str">
        <x:v>goods.received</x:v>
      </x:c>
      <x:c r="D121" s="83" t="str">
        <x:v>procesni sistem/event hub</x:v>
      </x:c>
      <x:c r="E121" s="83" t="str">
        <x:v>samodejno, z actor/source ID</x:v>
      </x:c>
      <x:c r="F121" s="83" t="str">
        <x:v>real-time</x:v>
      </x:c>
      <x:c r="G121" s="83" t="str">
        <x:v>čas, objekt in korelacijski ID obvezni</x:v>
      </x:c>
    </x:row>
    <x:row r="122">
      <x:c r="A122" s="85" t="str">
        <x:v>DATA-118</x:v>
      </x:c>
      <x:c r="B122" s="85" t="str">
        <x:v>Dogodek</x:v>
      </x:c>
      <x:c r="C122" s="85" t="str">
        <x:v>qc.completed</x:v>
      </x:c>
      <x:c r="D122" s="85" t="str">
        <x:v>procesni sistem/event hub</x:v>
      </x:c>
      <x:c r="E122" s="85" t="str">
        <x:v>samodejno, z actor/source ID</x:v>
      </x:c>
      <x:c r="F122" s="85" t="str">
        <x:v>real-time</x:v>
      </x:c>
      <x:c r="G122" s="85" t="str">
        <x:v>čas, objekt in korelacijski ID obvezni</x:v>
      </x:c>
    </x:row>
    <x:row r="123">
      <x:c r="A123" s="83" t="str">
        <x:v>DATA-119</x:v>
      </x:c>
      <x:c r="B123" s="83" t="str">
        <x:v>Dogodek</x:v>
      </x:c>
      <x:c r="C123" s="83" t="str">
        <x:v>putaway.completed</x:v>
      </x:c>
      <x:c r="D123" s="83" t="str">
        <x:v>procesni sistem/event hub</x:v>
      </x:c>
      <x:c r="E123" s="83" t="str">
        <x:v>samodejno, z actor/source ID</x:v>
      </x:c>
      <x:c r="F123" s="83" t="str">
        <x:v>real-time</x:v>
      </x:c>
      <x:c r="G123" s="83" t="str">
        <x:v>čas, objekt in korelacijski ID obvezni</x:v>
      </x:c>
    </x:row>
    <x:row r="124">
      <x:c r="A124" s="85" t="str">
        <x:v>DATA-120</x:v>
      </x:c>
      <x:c r="B124" s="85" t="str">
        <x:v>Dogodek</x:v>
      </x:c>
      <x:c r="C124" s="85" t="str">
        <x:v>inventory.adjusted</x:v>
      </x:c>
      <x:c r="D124" s="85" t="str">
        <x:v>procesni sistem/event hub</x:v>
      </x:c>
      <x:c r="E124" s="85" t="str">
        <x:v>samodejno, z actor/source ID</x:v>
      </x:c>
      <x:c r="F124" s="85" t="str">
        <x:v>real-time</x:v>
      </x:c>
      <x:c r="G124" s="85" t="str">
        <x:v>čas, objekt in korelacijski ID obvezni</x:v>
      </x:c>
    </x:row>
    <x:row r="125">
      <x:c r="A125" s="83" t="str">
        <x:v>DATA-121</x:v>
      </x:c>
      <x:c r="B125" s="83" t="str">
        <x:v>Dogodek</x:v>
      </x:c>
      <x:c r="C125" s="83" t="str">
        <x:v>pick.started</x:v>
      </x:c>
      <x:c r="D125" s="83" t="str">
        <x:v>procesni sistem/event hub</x:v>
      </x:c>
      <x:c r="E125" s="83" t="str">
        <x:v>samodejno, z actor/source ID</x:v>
      </x:c>
      <x:c r="F125" s="83" t="str">
        <x:v>real-time</x:v>
      </x:c>
      <x:c r="G125" s="83" t="str">
        <x:v>čas, objekt in korelacijski ID obvezni</x:v>
      </x:c>
    </x:row>
    <x:row r="126">
      <x:c r="A126" s="85" t="str">
        <x:v>DATA-122</x:v>
      </x:c>
      <x:c r="B126" s="85" t="str">
        <x:v>Dogodek</x:v>
      </x:c>
      <x:c r="C126" s="85" t="str">
        <x:v>pick.completed</x:v>
      </x:c>
      <x:c r="D126" s="85" t="str">
        <x:v>procesni sistem/event hub</x:v>
      </x:c>
      <x:c r="E126" s="85" t="str">
        <x:v>samodejno, z actor/source ID</x:v>
      </x:c>
      <x:c r="F126" s="85" t="str">
        <x:v>real-time</x:v>
      </x:c>
      <x:c r="G126" s="85" t="str">
        <x:v>čas, objekt in korelacijski ID obvezni</x:v>
      </x:c>
    </x:row>
    <x:row r="127">
      <x:c r="A127" s="83" t="str">
        <x:v>DATA-123</x:v>
      </x:c>
      <x:c r="B127" s="83" t="str">
        <x:v>Dogodek</x:v>
      </x:c>
      <x:c r="C127" s="83" t="str">
        <x:v>pack.completed</x:v>
      </x:c>
      <x:c r="D127" s="83" t="str">
        <x:v>procesni sistem/event hub</x:v>
      </x:c>
      <x:c r="E127" s="83" t="str">
        <x:v>samodejno, z actor/source ID</x:v>
      </x:c>
      <x:c r="F127" s="83" t="str">
        <x:v>real-time</x:v>
      </x:c>
      <x:c r="G127" s="83" t="str">
        <x:v>čas, objekt in korelacijski ID obvezni</x:v>
      </x:c>
    </x:row>
    <x:row r="128">
      <x:c r="A128" s="85" t="str">
        <x:v>DATA-124</x:v>
      </x:c>
      <x:c r="B128" s="85" t="str">
        <x:v>Dogodek</x:v>
      </x:c>
      <x:c r="C128" s="85" t="str">
        <x:v>shipment.loaded</x:v>
      </x:c>
      <x:c r="D128" s="85" t="str">
        <x:v>procesni sistem/event hub</x:v>
      </x:c>
      <x:c r="E128" s="85" t="str">
        <x:v>samodejno, z actor/source ID</x:v>
      </x:c>
      <x:c r="F128" s="85" t="str">
        <x:v>real-time</x:v>
      </x:c>
      <x:c r="G128" s="85" t="str">
        <x:v>čas, objekt in korelacijski ID obvezni</x:v>
      </x:c>
    </x:row>
    <x:row r="129">
      <x:c r="A129" s="83" t="str">
        <x:v>DATA-125</x:v>
      </x:c>
      <x:c r="B129" s="83" t="str">
        <x:v>Dogodek</x:v>
      </x:c>
      <x:c r="C129" s="83" t="str">
        <x:v>return.received</x:v>
      </x:c>
      <x:c r="D129" s="83" t="str">
        <x:v>procesni sistem/event hub</x:v>
      </x:c>
      <x:c r="E129" s="83" t="str">
        <x:v>samodejno, z actor/source ID</x:v>
      </x:c>
      <x:c r="F129" s="83" t="str">
        <x:v>real-time</x:v>
      </x:c>
      <x:c r="G129" s="83" t="str">
        <x:v>čas, objekt in korelacijski ID obvezni</x:v>
      </x:c>
    </x:row>
    <x:row r="130">
      <x:c r="A130" s="85" t="str">
        <x:v>DATA-126</x:v>
      </x:c>
      <x:c r="B130" s="85" t="str">
        <x:v>Dogodek</x:v>
      </x:c>
      <x:c r="C130" s="85" t="str">
        <x:v>claim.opened</x:v>
      </x:c>
      <x:c r="D130" s="85" t="str">
        <x:v>procesni sistem/event hub</x:v>
      </x:c>
      <x:c r="E130" s="85" t="str">
        <x:v>samodejno, z actor/source ID</x:v>
      </x:c>
      <x:c r="F130" s="85" t="str">
        <x:v>real-time</x:v>
      </x:c>
      <x:c r="G130" s="85" t="str">
        <x:v>čas, objekt in korelacijski ID obvezni</x:v>
      </x:c>
    </x:row>
    <x:row r="131">
      <x:c r="A131" s="83" t="str">
        <x:v>DATA-127</x:v>
      </x:c>
      <x:c r="B131" s="83" t="str">
        <x:v>Dogodek</x:v>
      </x:c>
      <x:c r="C131" s="83" t="str">
        <x:v>claim.closed</x:v>
      </x:c>
      <x:c r="D131" s="83" t="str">
        <x:v>procesni sistem/event hub</x:v>
      </x:c>
      <x:c r="E131" s="83" t="str">
        <x:v>samodejno, z actor/source ID</x:v>
      </x:c>
      <x:c r="F131" s="83" t="str">
        <x:v>real-time</x:v>
      </x:c>
      <x:c r="G131" s="83" t="str">
        <x:v>čas, objekt in korelacijski ID obvezni</x:v>
      </x:c>
    </x:row>
    <x:row r="132">
      <x:c r="A132" s="85" t="str">
        <x:v>DATA-128</x:v>
      </x:c>
      <x:c r="B132" s="85" t="str">
        <x:v>Dogodek</x:v>
      </x:c>
      <x:c r="C132" s="85" t="str">
        <x:v>maintenance.due</x:v>
      </x:c>
      <x:c r="D132" s="85" t="str">
        <x:v>procesni sistem/event hub</x:v>
      </x:c>
      <x:c r="E132" s="85" t="str">
        <x:v>samodejno, z actor/source ID</x:v>
      </x:c>
      <x:c r="F132" s="85" t="str">
        <x:v>real-time</x:v>
      </x:c>
      <x:c r="G132" s="85" t="str">
        <x:v>čas, objekt in korelacijski ID obvezni</x:v>
      </x:c>
    </x:row>
    <x:row r="133">
      <x:c r="A133" s="84" t="str">
        <x:v>DATA-129</x:v>
      </x:c>
      <x:c r="B133" s="84" t="str">
        <x:v>Dogodek</x:v>
      </x:c>
      <x:c r="C133" s="84" t="str">
        <x:v>integration.failed</x:v>
      </x:c>
      <x:c r="D133" s="84" t="str">
        <x:v>procesni sistem/event hub</x:v>
      </x:c>
      <x:c r="E133" s="84" t="str">
        <x:v>samodejno, z actor/source ID</x:v>
      </x:c>
      <x:c r="F133" s="84" t="str">
        <x:v>real-time</x:v>
      </x:c>
      <x:c r="G133" s="84" t="str">
        <x:v>čas, objekt in korelacijski ID obvezni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407047ed57d4d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0" hidden="0" customWidth="1"/>
    <x:col min="3" max="3" width="24" hidden="0" customWidth="1"/>
    <x:col min="4" max="4" width="60" hidden="0" customWidth="1"/>
    <x:col min="5" max="5" width="24" hidden="0" customWidth="1"/>
  </x:cols>
  <x:sheetData>
    <x:row r="1" ht="34" customHeight="1">
      <x:c r="A1" s="4" t="str">
        <x:v>PANTHEON fit in meje</x:v>
      </x:c>
      <x:c r="B1" s="4"/>
      <x:c r="C1" s="4"/>
      <x:c r="D1" s="4"/>
      <x:c r="E1" s="4"/>
    </x:row>
    <x:row r="2" ht="31" customHeight="1">
      <x:c r="A2" s="8" t="str">
        <x:v>Prodajna komunikacija mora ohraniti kategorije: neposredno, partner/granula, Connector/integracija ali specialist.</x:v>
      </x:c>
      <x:c r="B2" s="8"/>
      <x:c r="C2" s="8"/>
      <x:c r="D2" s="8"/>
      <x:c r="E2" s="8"/>
    </x:row>
    <x:row r="4" ht="15" hidden="0" customHeight="1">
      <x:c r="A4" s="74" t="str">
        <x:v>ID</x:v>
      </x:c>
      <x:c r="B4" s="74" t="str">
        <x:v>Zmožnost</x:v>
      </x:c>
      <x:c r="C4" s="74" t="str">
        <x:v>Kategorija</x:v>
      </x:c>
      <x:c r="D4" s="74" t="str">
        <x:v>Interpretacija</x:v>
      </x:c>
      <x:c r="E4" s="74" t="str">
        <x:v>Vir</x:v>
      </x:c>
    </x:row>
    <x:row r="5" ht="15" hidden="0" customHeight="1">
      <x:c r="A5" s="82" t="str">
        <x:v>CAP-001</x:v>
      </x:c>
      <x:c r="B5" s="82" t="str">
        <x:v>Glavna knjiga, terjatve, obveznosti</x:v>
      </x:c>
      <x:c r="C5" s="82" t="str">
        <x:v>neposredno</x:v>
      </x:c>
      <x:c r="D5" s="82" t="str">
        <x:v>ERP jedro in lokalna skladnost</x:v>
      </x:c>
      <x:c r="E5" s="82" t="str">
        <x:v>SRC-035</x:v>
      </x:c>
    </x:row>
    <x:row r="6" ht="15" hidden="0" customHeight="1">
      <x:c r="A6" s="85" t="str">
        <x:v>CAP-002</x:v>
      </x:c>
      <x:c r="B6" s="85" t="str">
        <x:v>Prodajna in nabavna naročila</x:v>
      </x:c>
      <x:c r="C6" s="85" t="str">
        <x:v>neposredno</x:v>
      </x:c>
      <x:c r="D6" s="85" t="str">
        <x:v>integriran komercialni tok</x:v>
      </x:c>
      <x:c r="E6" s="85" t="str">
        <x:v>SRC-035</x:v>
      </x:c>
    </x:row>
    <x:row r="7" ht="15" hidden="0" customHeight="1">
      <x:c r="A7" s="83" t="str">
        <x:v>CAP-003</x:v>
      </x:c>
      <x:c r="B7" s="83" t="str">
        <x:v>Izdaja računov in dobropisov</x:v>
      </x:c>
      <x:c r="C7" s="83" t="str">
        <x:v>neposredno</x:v>
      </x:c>
      <x:c r="D7" s="83" t="str">
        <x:v>povezati z dokazano izvedbo</x:v>
      </x:c>
      <x:c r="E7" s="83" t="str">
        <x:v>SRC-035</x:v>
      </x:c>
    </x:row>
    <x:row r="8" ht="15" hidden="0" customHeight="1">
      <x:c r="A8" s="85" t="str">
        <x:v>CAP-004</x:v>
      </x:c>
      <x:c r="B8" s="85" t="str">
        <x:v>Zaloge in več skladišč</x:v>
      </x:c>
      <x:c r="C8" s="85" t="str">
        <x:v>neposredno</x:v>
      </x:c>
      <x:c r="D8" s="85" t="str">
        <x:v>stanje, prenosi, dokumenti</x:v>
      </x:c>
      <x:c r="E8" s="85" t="str">
        <x:v>SRC-035; SRC-036</x:v>
      </x:c>
    </x:row>
    <x:row r="9" ht="15" hidden="0" customHeight="1">
      <x:c r="A9" s="83" t="str">
        <x:v>CAP-005</x:v>
      </x:c>
      <x:c r="B9" s="83" t="str">
        <x:v>Serije, loti in serijske številke</x:v>
      </x:c>
      <x:c r="C9" s="83" t="str">
        <x:v>neposredno</x:v>
      </x:c>
      <x:c r="D9" s="83" t="str">
        <x:v>sledljivost na ERP ravni</x:v>
      </x:c>
      <x:c r="E9" s="83" t="str">
        <x:v>SRC-035; SRC-036</x:v>
      </x:c>
    </x:row>
    <x:row r="10" ht="15" hidden="0" customHeight="1">
      <x:c r="A10" s="85" t="str">
        <x:v>CAP-006</x:v>
      </x:c>
      <x:c r="B10" s="85" t="str">
        <x:v>Inventura</x:v>
      </x:c>
      <x:c r="C10" s="85" t="str">
        <x:v>neposredno/granula</x:v>
      </x:c>
      <x:c r="D10" s="85" t="str">
        <x:v>namenska granula; preveriti verzijo in obseg</x:v>
      </x:c>
      <x:c r="E10" s="85" t="str">
        <x:v>SRC-038</x:v>
      </x:c>
    </x:row>
    <x:row r="11" ht="15" hidden="0" customHeight="1">
      <x:c r="A11" s="83" t="str">
        <x:v>CAP-007</x:v>
      </x:c>
      <x:c r="B11" s="83" t="str">
        <x:v>DMS in dokumenti</x:v>
      </x:c>
      <x:c r="C11" s="83" t="str">
        <x:v>neposredno</x:v>
      </x:c>
      <x:c r="D11" s="83" t="str">
        <x:v>pogodbe, POD, dokazila; workflow preveriti</x:v>
      </x:c>
      <x:c r="E11" s="83" t="str">
        <x:v>SRC-035</x:v>
      </x:c>
    </x:row>
    <x:row r="12" ht="15" hidden="0" customHeight="1">
      <x:c r="A12" s="85" t="str">
        <x:v>CAP-008</x:v>
      </x:c>
      <x:c r="B12" s="85" t="str">
        <x:v>Osnovni BI in poročanje</x:v>
      </x:c>
      <x:c r="C12" s="85" t="str">
        <x:v>neposredno</x:v>
      </x:c>
      <x:c r="D12" s="85" t="str">
        <x:v>upravljavski pogled iz ERP podatkov</x:v>
      </x:c>
      <x:c r="E12" s="85" t="str">
        <x:v>SRC-035</x:v>
      </x:c>
    </x:row>
    <x:row r="13" ht="15" hidden="0" customHeight="1">
      <x:c r="A13" s="83" t="str">
        <x:v>CAP-009</x:v>
      </x:c>
      <x:c r="B13" s="83" t="str">
        <x:v>Plače, kadri, odsotnosti</x:v>
      </x:c>
      <x:c r="C13" s="83" t="str">
        <x:v>neposredno</x:v>
      </x:c>
      <x:c r="D13" s="83" t="str">
        <x:v>HR administracija; operativni roster zahteva povezavo</x:v>
      </x:c>
      <x:c r="E13" s="83" t="str">
        <x:v>SRC-035</x:v>
      </x:c>
    </x:row>
    <x:row r="14" ht="15" hidden="0" customHeight="1">
      <x:c r="A14" s="85" t="str">
        <x:v>CAP-010</x:v>
      </x:c>
      <x:c r="B14" s="85" t="str">
        <x:v>Osnovna sredstva in vozila kot sredstva</x:v>
      </x:c>
      <x:c r="C14" s="85" t="str">
        <x:v>neposredno</x:v>
      </x:c>
      <x:c r="D14" s="85" t="str">
        <x:v>računovodska evidenca; ni FMS</x:v>
      </x:c>
      <x:c r="E14" s="85" t="str">
        <x:v>SRC-035</x:v>
      </x:c>
    </x:row>
    <x:row r="15" ht="15" hidden="0" customHeight="1">
      <x:c r="A15" s="83" t="str">
        <x:v>CAP-011</x:v>
      </x:c>
      <x:c r="B15" s="83" t="str">
        <x:v>Mobilno skladiščno skeniranje</x:v>
      </x:c>
      <x:c r="C15" s="83" t="str">
        <x:v>partner/granula</x:v>
      </x:c>
      <x:c r="D15" s="83" t="str">
        <x:v>PanScan/PanStore ali druga rešitev; potrditi funkcionalni obseg</x:v>
      </x:c>
      <x:c r="E15" s="83" t="str">
        <x:v>SRC-044</x:v>
      </x:c>
    </x:row>
    <x:row r="16" ht="15" hidden="0" customHeight="1">
      <x:c r="A16" s="85" t="str">
        <x:v>CAP-012</x:v>
      </x:c>
      <x:c r="B16" s="85" t="str">
        <x:v>3PL obračun dogodkov</x:v>
      </x:c>
      <x:c r="C16" s="85" t="str">
        <x:v>partner/integracija</x:v>
      </x:c>
      <x:c r="D16" s="85" t="str">
        <x:v>dogodki iz WMS/TMS v ERP tarife</x:v>
      </x:c>
      <x:c r="E16" s="85" t="str">
        <x:v>expert synthesis</x:v>
      </x:c>
    </x:row>
    <x:row r="17" ht="15" hidden="0" customHeight="1">
      <x:c r="A17" s="83" t="str">
        <x:v>CAP-013</x:v>
      </x:c>
      <x:c r="B17" s="83" t="str">
        <x:v>EDI/API povezave</x:v>
      </x:c>
      <x:c r="C17" s="83" t="str">
        <x:v>Connector/integracija</x:v>
      </x:c>
      <x:c r="D17" s="83" t="str">
        <x:v>avtomatske zunanje povezave zahtevajo ustrezno licenco</x:v>
      </x:c>
      <x:c r="E17" s="83" t="str">
        <x:v>SRC-037</x:v>
      </x:c>
    </x:row>
    <x:row r="18" ht="15" hidden="0" customHeight="1">
      <x:c r="A18" s="85" t="str">
        <x:v>CAP-014</x:v>
      </x:c>
      <x:c r="B18" s="85" t="str">
        <x:v>Telematika in GPS sledenje</x:v>
      </x:c>
      <x:c r="C18" s="85" t="str">
        <x:v>integracija</x:v>
      </x:c>
      <x:c r="D18" s="85" t="str">
        <x:v>specialistični FMS/telematski vir</x:v>
      </x:c>
      <x:c r="E18" s="85" t="str">
        <x:v>expert synthesis</x:v>
      </x:c>
    </x:row>
    <x:row r="19" ht="15" hidden="0" customHeight="1">
      <x:c r="A19" s="83" t="str">
        <x:v>CAP-015</x:v>
      </x:c>
      <x:c r="B19" s="83" t="str">
        <x:v>ePOD/voznikova aplikacija</x:v>
      </x:c>
      <x:c r="C19" s="83" t="str">
        <x:v>partner/integracija</x:v>
      </x:c>
      <x:c r="D19" s="83" t="str">
        <x:v>mobilna izvedba in prenos POD v DMS/ERP</x:v>
      </x:c>
      <x:c r="E19" s="83" t="str">
        <x:v>expert synthesis</x:v>
      </x:c>
    </x:row>
    <x:row r="20" ht="15" hidden="0" customHeight="1">
      <x:c r="A20" s="85" t="str">
        <x:v>CAP-016</x:v>
      </x:c>
      <x:c r="B20" s="85" t="str">
        <x:v>TMS planiranje tur</x:v>
      </x:c>
      <x:c r="C20" s="85" t="str">
        <x:v>specialist</x:v>
      </x:c>
      <x:c r="D20" s="85" t="str">
        <x:v>ni javnega dokaza o nativnem celovitem TMS</x:v>
      </x:c>
      <x:c r="E20" s="85" t="str">
        <x:v>SRC-035; SRC-044</x:v>
      </x:c>
    </x:row>
    <x:row r="21" ht="15" hidden="0" customHeight="1">
      <x:c r="A21" s="83" t="str">
        <x:v>CAP-017</x:v>
      </x:c>
      <x:c r="B21" s="83" t="str">
        <x:v>Optimizacija poti</x:v>
      </x:c>
      <x:c r="C21" s="83" t="str">
        <x:v>specialist</x:v>
      </x:c>
      <x:c r="D21" s="83" t="str">
        <x:v>algoritemsko planiranje izven ERP jedra</x:v>
      </x:c>
      <x:c r="E21" s="83" t="str">
        <x:v>SRC-041</x:v>
      </x:c>
    </x:row>
    <x:row r="22" ht="15" hidden="0" customHeight="1">
      <x:c r="A22" s="85" t="str">
        <x:v>CAP-018</x:v>
      </x:c>
      <x:c r="B22" s="85" t="str">
        <x:v>Carrier tendering/procurement</x:v>
      </x:c>
      <x:c r="C22" s="85" t="str">
        <x:v>specialist</x:v>
      </x:c>
      <x:c r="D22" s="85" t="str">
        <x:v>nabava prevoznikov in tenderji izven javno opisanega jedra</x:v>
      </x:c>
      <x:c r="E22" s="85" t="str">
        <x:v>SRC-041</x:v>
      </x:c>
    </x:row>
    <x:row r="23" ht="15" hidden="0" customHeight="1">
      <x:c r="A23" s="83" t="str">
        <x:v>CAP-019</x:v>
      </x:c>
      <x:c r="B23" s="83" t="str">
        <x:v>Freight audit</x:v>
      </x:c>
      <x:c r="C23" s="83" t="str">
        <x:v>integracija/specialist</x:v>
      </x:c>
      <x:c r="D23" s="83" t="str">
        <x:v>primerjava pogodbe, dogodkov in računov</x:v>
      </x:c>
      <x:c r="E23" s="83" t="str">
        <x:v>expert synthesis</x:v>
      </x:c>
    </x:row>
    <x:row r="24" ht="15" hidden="0" customHeight="1">
      <x:c r="A24" s="85" t="str">
        <x:v>CAP-020</x:v>
      </x:c>
      <x:c r="B24" s="85" t="str">
        <x:v>Napredni WMS tasking/waves/slotting</x:v>
      </x:c>
      <x:c r="C24" s="85" t="str">
        <x:v>specialist/integracija</x:v>
      </x:c>
      <x:c r="D24" s="85" t="str">
        <x:v>ERP skladišče ni enako naprednemu WMS</x:v>
      </x:c>
      <x:c r="E24" s="85" t="str">
        <x:v>SRC-040</x:v>
      </x:c>
    </x:row>
    <x:row r="25" ht="15" hidden="0" customHeight="1">
      <x:c r="A25" s="83" t="str">
        <x:v>CAP-021</x:v>
      </x:c>
      <x:c r="B25" s="83" t="str">
        <x:v>Yard/dock management</x:v>
      </x:c>
      <x:c r="C25" s="83" t="str">
        <x:v>specialist</x:v>
      </x:c>
      <x:c r="D25" s="83" t="str">
        <x:v>sloti, vrata in dvorišče</x:v>
      </x:c>
      <x:c r="E25" s="83" t="str">
        <x:v>SRC-040</x:v>
      </x:c>
    </x:row>
    <x:row r="26" ht="15" hidden="0" customHeight="1">
      <x:c r="A26" s="85" t="str">
        <x:v>CAP-022</x:v>
      </x:c>
      <x:c r="B26" s="85" t="str">
        <x:v>Robotika/AMR/MHE orchestration</x:v>
      </x:c>
      <x:c r="C26" s="85" t="str">
        <x:v>specialist/integracija</x:v>
      </x:c>
      <x:c r="D26" s="85" t="str">
        <x:v>izvedbena plast WES/WCS</x:v>
      </x:c>
      <x:c r="E26" s="85" t="str">
        <x:v>expert synthesis</x:v>
      </x:c>
    </x:row>
    <x:row r="27" ht="15" hidden="0" customHeight="1">
      <x:c r="A27" s="83" t="str">
        <x:v>CAP-023</x:v>
      </x:c>
      <x:c r="B27" s="83" t="str">
        <x:v>eFTI certificirana platforma</x:v>
      </x:c>
      <x:c r="C27" s="83" t="str">
        <x:v>specialist</x:v>
      </x:c>
      <x:c r="D27" s="83" t="str">
        <x:v>certificiranje in zakonska vloga nista ERP funkcija</x:v>
      </x:c>
      <x:c r="E27" s="83" t="str">
        <x:v>SRC-014; SRC-015</x:v>
      </x:c>
    </x:row>
    <x:row r="28" ht="15" hidden="0" customHeight="1">
      <x:c r="A28" s="85" t="str">
        <x:v>CAP-024</x:v>
      </x:c>
      <x:c r="B28" s="85" t="str">
        <x:v>eCMR omrežje</x:v>
      </x:c>
      <x:c r="C28" s="85" t="str">
        <x:v>specialist/integracija</x:v>
      </x:c>
      <x:c r="D28" s="85" t="str">
        <x:v>strukturiran eCMR in izmenjava z deležniki</x:v>
      </x:c>
      <x:c r="E28" s="85" t="str">
        <x:v>SRC-018</x:v>
      </x:c>
    </x:row>
    <x:row r="29" ht="15" hidden="0" customHeight="1">
      <x:c r="A29" s="83" t="str">
        <x:v>CAP-025</x:v>
      </x:c>
      <x:c r="B29" s="83" t="str">
        <x:v>Napredno ETA napovedovanje</x:v>
      </x:c>
      <x:c r="C29" s="83" t="str">
        <x:v>specialist</x:v>
      </x:c>
      <x:c r="D29" s="83" t="str">
        <x:v>zahteva telematiko, promet in model</x:v>
      </x:c>
      <x:c r="E29" s="83" t="str">
        <x:v>expert synthesis</x:v>
      </x:c>
    </x:row>
    <x:row r="30" ht="15" hidden="0" customHeight="1">
      <x:c r="A30" s="85" t="str">
        <x:v>CAP-026</x:v>
      </x:c>
      <x:c r="B30" s="85" t="str">
        <x:v>ISO 14083 emisijski izračun</x:v>
      </x:c>
      <x:c r="C30" s="85" t="str">
        <x:v>integracija/specialist</x:v>
      </x:c>
      <x:c r="D30" s="85" t="str">
        <x:v>metoda in podatki; možno poročanje v BI</x:v>
      </x:c>
      <x:c r="E30" s="85" t="str">
        <x:v>SRC-027</x:v>
      </x:c>
    </x:row>
    <x:row r="31" ht="15" hidden="0" customHeight="1">
      <x:c r="A31" s="84" t="str">
        <x:v>CAP-027</x:v>
      </x:c>
      <x:c r="B31" s="84" t="str">
        <x:v>Kibernetski SOC/SIEM</x:v>
      </x:c>
      <x:c r="C31" s="84" t="str">
        <x:v>specialist</x:v>
      </x:c>
      <x:c r="D31" s="84" t="str">
        <x:v>organizacijska in varnostna platforma</x:v>
      </x:c>
      <x:c r="E31" s="84" t="str">
        <x:v>SRC-023; SRC-024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920f8be0ccc44f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64" hidden="0" customWidth="1"/>
    <x:col min="5" max="5" width="24" hidden="0" customWidth="1"/>
    <x:col min="6" max="6" width="18" hidden="0" customWidth="1"/>
    <x:col min="7" max="7" width="28" hidden="0" customWidth="1"/>
    <x:col min="8" max="8" width="22" hidden="0" customWidth="1"/>
  </x:cols>
  <x:sheetData>
    <x:row r="1" ht="34" customHeight="1">
      <x:c r="A1" s="4" t="str">
        <x:v>Banka vprašanj</x:v>
      </x:c>
      <x:c r="B1" s="4"/>
      <x:c r="C1" s="4"/>
      <x:c r="D1" s="4"/>
      <x:c r="E1" s="4"/>
      <x:c r="F1" s="4"/>
      <x:c r="G1" s="4"/>
      <x:c r="H1" s="4"/>
    </x:row>
    <x:row r="2" ht="31" customHeight="1">
      <x:c r="A2" s="8" t="str">
        <x:v>Quick rezultat je strošek sedanjega stanja; ROI nastane šele po TCO in planu realizacije.</x:v>
      </x:c>
      <x:c r="B2" s="8"/>
      <x:c r="C2" s="8"/>
      <x:c r="D2" s="8"/>
      <x:c r="E2" s="8"/>
      <x:c r="F2" s="8"/>
      <x:c r="G2" s="8"/>
      <x:c r="H2" s="8"/>
    </x:row>
    <x:row r="4" ht="15" hidden="0" customHeight="1">
      <x:c r="A4" s="74" t="str">
        <x:v>ID</x:v>
      </x:c>
      <x:c r="B4" s="74" t="str">
        <x:v>Globina</x:v>
      </x:c>
      <x:c r="C4" s="74" t="str">
        <x:v>Domena</x:v>
      </x:c>
      <x:c r="D4" s="74" t="str">
        <x:v>Vprašanje</x:v>
      </x:c>
      <x:c r="E4" s="74" t="str">
        <x:v>Tip</x:v>
      </x:c>
      <x:c r="F4" s="74" t="str">
        <x:v>Pogoj</x:v>
      </x:c>
      <x:c r="G4" s="74" t="str">
        <x:v>Namen</x:v>
      </x:c>
      <x:c r="H4" s="74" t="str">
        <x:v>Status</x:v>
      </x:c>
    </x:row>
    <x:row r="5" ht="15" hidden="0" customHeight="1">
      <x:c r="A5" s="82" t="str">
        <x:v>Q-001</x:v>
      </x:c>
      <x:c r="B5" s="82" t="str">
        <x:v>quick</x:v>
      </x:c>
      <x:c r="C5" s="82" t="str">
        <x:v>segment</x:v>
      </x:c>
      <x:c r="D5" s="82" t="str">
        <x:v>Kateri poslovni modeli predstavljajo vsaj 10 % prihodkov ali operativnega obsega?</x:v>
      </x:c>
      <x:c r="E5" s="82" t="str">
        <x:v>multi-select</x:v>
      </x:c>
      <x:c r="F5" s="82" t="str">
        <x:v>vsi</x:v>
      </x:c>
      <x:c r="G5" s="82" t="str">
        <x:v>določi veje</x:v>
      </x:c>
      <x:c r="H5" s="82" t="str">
        <x:v>obvezno</x:v>
      </x:c>
    </x:row>
    <x:row r="6" ht="15" hidden="0" customHeight="1">
      <x:c r="A6" s="85" t="str">
        <x:v>Q-002</x:v>
      </x:c>
      <x:c r="B6" s="85" t="str">
        <x:v>quick</x:v>
      </x:c>
      <x:c r="C6" s="85" t="str">
        <x:v>obseg</x:v>
      </x:c>
      <x:c r="D6" s="85" t="str">
        <x:v>Koliko zaposlenih, vozil, skladišč, pošiljk/naročil in računov imate v zadnjih 12 mesecih?</x:v>
      </x:c>
      <x:c r="E6" s="85" t="str">
        <x:v>numeric-group</x:v>
      </x:c>
      <x:c r="F6" s="85" t="str">
        <x:v>vsi</x:v>
      </x:c>
      <x:c r="G6" s="85" t="str">
        <x:v>normalizacija</x:v>
      </x:c>
      <x:c r="H6" s="85" t="str">
        <x:v>obvezno</x:v>
      </x:c>
    </x:row>
    <x:row r="7" ht="15" hidden="0" customHeight="1">
      <x:c r="A7" s="83" t="str">
        <x:v>Q-003</x:v>
      </x:c>
      <x:c r="B7" s="83" t="str">
        <x:v>quick</x:v>
      </x:c>
      <x:c r="C7" s="83" t="str">
        <x:v>sistemi</x:v>
      </x:c>
      <x:c r="D7" s="83" t="str">
        <x:v>Katere sisteme dejansko uporabljate: ERP, TMS, WMS, telematika, DMS, BI, portali?</x:v>
      </x:c>
      <x:c r="E7" s="83" t="str">
        <x:v>multi-select</x:v>
      </x:c>
      <x:c r="F7" s="83" t="str">
        <x:v>vsi</x:v>
      </x:c>
      <x:c r="G7" s="83" t="str">
        <x:v>zrelost in integracije</x:v>
      </x:c>
      <x:c r="H7" s="83" t="str">
        <x:v>obvezno</x:v>
      </x:c>
    </x:row>
    <x:row r="8" ht="15" hidden="0" customHeight="1">
      <x:c r="A8" s="85" t="str">
        <x:v>Q-004</x:v>
      </x:c>
      <x:c r="B8" s="85" t="str">
        <x:v>quick</x:v>
      </x:c>
      <x:c r="C8" s="85" t="str">
        <x:v>bolečina</x:v>
      </x:c>
      <x:c r="D8" s="85" t="str">
        <x:v>Katera tri področja povzročajo največ stroška, zamude ali tveganja?</x:v>
      </x:c>
      <x:c r="E8" s="85" t="str">
        <x:v>rank</x:v>
      </x:c>
      <x:c r="F8" s="85" t="str">
        <x:v>vsi</x:v>
      </x:c>
      <x:c r="G8" s="85" t="str">
        <x:v>prioritizacija</x:v>
      </x:c>
      <x:c r="H8" s="85" t="str">
        <x:v>obvezno</x:v>
      </x:c>
    </x:row>
    <x:row r="9" ht="15" hidden="0" customHeight="1">
      <x:c r="A9" s="83" t="str">
        <x:v>Q-005</x:v>
      </x:c>
      <x:c r="B9" s="83" t="str">
        <x:v>quick</x:v>
      </x:c>
      <x:c r="C9" s="83" t="str">
        <x:v>podatki</x:v>
      </x:c>
      <x:c r="D9" s="83" t="str">
        <x:v>Za katere izbrane probleme imate 12-mesečni podatek ali vzorec?</x:v>
      </x:c>
      <x:c r="E9" s="83" t="str">
        <x:v>multi-select</x:v>
      </x:c>
      <x:c r="F9" s="83" t="str">
        <x:v>vsi</x:v>
      </x:c>
      <x:c r="G9" s="83" t="str">
        <x:v>confidence</x:v>
      </x:c>
      <x:c r="H9" s="83" t="str">
        <x:v>obvezno</x:v>
      </x:c>
    </x:row>
    <x:row r="10" ht="15" hidden="0" customHeight="1">
      <x:c r="A10" s="85" t="str">
        <x:v>Q-006</x:v>
      </x:c>
      <x:c r="B10" s="85" t="str">
        <x:v>quick</x:v>
      </x:c>
      <x:c r="C10" s="85" t="str">
        <x:v>finance</x:v>
      </x:c>
      <x:c r="D10" s="85" t="str">
        <x:v>Kolikšen je približen letni neposredni strošek izbranih problemov brez vrednosti teoretičnih ur?</x:v>
      </x:c>
      <x:c r="E10" s="85" t="str">
        <x:v>currency</x:v>
      </x:c>
      <x:c r="F10" s="85" t="str">
        <x:v>vsi</x:v>
      </x:c>
      <x:c r="G10" s="85" t="str">
        <x:v>conservative baseline</x:v>
      </x:c>
      <x:c r="H10" s="85" t="str">
        <x:v>opcijsko</x:v>
      </x:c>
    </x:row>
    <x:row r="11" ht="15" hidden="0" customHeight="1">
      <x:c r="A11" s="83" t="str">
        <x:v>Q-007</x:v>
      </x:c>
      <x:c r="B11" s="83" t="str">
        <x:v>quick</x:v>
      </x:c>
      <x:c r="C11" s="83" t="str">
        <x:v>odločitev</x:v>
      </x:c>
      <x:c r="D11" s="83" t="str">
        <x:v>Ali obstaja rok, sponzor in okvirni proračun za spremembo v 12 mesecih?</x:v>
      </x:c>
      <x:c r="E11" s="83" t="str">
        <x:v>choice</x:v>
      </x:c>
      <x:c r="F11" s="83" t="str">
        <x:v>vsi</x:v>
      </x:c>
      <x:c r="G11" s="83" t="str">
        <x:v>ICP</x:v>
      </x:c>
      <x:c r="H11" s="83" t="str">
        <x:v>obvezno</x:v>
      </x:c>
    </x:row>
    <x:row r="12" ht="15" hidden="0" customHeight="1">
      <x:c r="A12" s="85" t="str">
        <x:v>Q-008</x:v>
      </x:c>
      <x:c r="B12" s="85" t="str">
        <x:v>audit</x:v>
      </x:c>
      <x:c r="C12" s="85" t="str">
        <x:v>prodaja</x:v>
      </x:c>
      <x:c r="D12" s="85" t="str">
        <x:v>Kolikšen je 12-mesečni obseg za proces »Lead-to-quote« in kateri imenovalec ga najbolje pojasni?</x:v>
      </x:c>
      <x:c r="E12" s="85" t="str">
        <x:v>numeric+unit</x:v>
      </x:c>
      <x:c r="F12" s="85" t="str">
        <x:v>PROC-01</x:v>
      </x:c>
      <x:c r="G12" s="85" t="str">
        <x:v>normalizacija</x:v>
      </x:c>
      <x:c r="H12" s="85" t="str">
        <x:v>pogojno</x:v>
      </x:c>
    </x:row>
    <x:row r="13" ht="21.600000381469727" hidden="0" customHeight="1">
      <x:c r="A13" s="83" t="str">
        <x:v>Q-009</x:v>
      </x:c>
      <x:c r="B13" s="83" t="str">
        <x:v>audit</x:v>
      </x:c>
      <x:c r="C13" s="83" t="str">
        <x:v>prodaja</x:v>
      </x:c>
      <x:c r="D13" s="83" t="str">
        <x:v>Koliko časa, napak, zamud ali neobračunanih zneskov nastane v procesu »Lead-to-quote« in iz katerega vira to veste?</x:v>
      </x:c>
      <x:c r="E13" s="83" t="str">
        <x:v>numeric+source</x:v>
      </x:c>
      <x:c r="F13" s="83" t="str">
        <x:v>PROC-01</x:v>
      </x:c>
      <x:c r="G13" s="83" t="str">
        <x:v>baseline + confidence</x:v>
      </x:c>
      <x:c r="H13" s="83" t="str">
        <x:v>pogojno</x:v>
      </x:c>
    </x:row>
    <x:row r="14" ht="15" hidden="0" customHeight="1">
      <x:c r="A14" s="85" t="str">
        <x:v>Q-010</x:v>
      </x:c>
      <x:c r="B14" s="85" t="str">
        <x:v>audit</x:v>
      </x:c>
      <x:c r="C14" s="85" t="str">
        <x:v>komerciala</x:v>
      </x:c>
      <x:c r="D14" s="85" t="str">
        <x:v>Kolikšen je 12-mesečni obseg za proces »Order capture« in kateri imenovalec ga najbolje pojasni?</x:v>
      </x:c>
      <x:c r="E14" s="85" t="str">
        <x:v>numeric+unit</x:v>
      </x:c>
      <x:c r="F14" s="85" t="str">
        <x:v>PROC-02</x:v>
      </x:c>
      <x:c r="G14" s="85" t="str">
        <x:v>normalizacija</x:v>
      </x:c>
      <x:c r="H14" s="85" t="str">
        <x:v>pogojno</x:v>
      </x:c>
    </x:row>
    <x:row r="15" ht="21.600000381469727" hidden="0" customHeight="1">
      <x:c r="A15" s="83" t="str">
        <x:v>Q-011</x:v>
      </x:c>
      <x:c r="B15" s="83" t="str">
        <x:v>audit</x:v>
      </x:c>
      <x:c r="C15" s="83" t="str">
        <x:v>komerciala</x:v>
      </x:c>
      <x:c r="D15" s="83" t="str">
        <x:v>Koliko časa, napak, zamud ali neobračunanih zneskov nastane v procesu »Order capture« in iz katerega vira to veste?</x:v>
      </x:c>
      <x:c r="E15" s="83" t="str">
        <x:v>numeric+source</x:v>
      </x:c>
      <x:c r="F15" s="83" t="str">
        <x:v>PROC-02</x:v>
      </x:c>
      <x:c r="G15" s="83" t="str">
        <x:v>baseline + confidence</x:v>
      </x:c>
      <x:c r="H15" s="83" t="str">
        <x:v>pogojno</x:v>
      </x:c>
    </x:row>
    <x:row r="16" ht="15" hidden="0" customHeight="1">
      <x:c r="A16" s="85" t="str">
        <x:v>Q-012</x:v>
      </x:c>
      <x:c r="B16" s="85" t="str">
        <x:v>audit</x:v>
      </x:c>
      <x:c r="C16" s="85" t="str">
        <x:v>transport</x:v>
      </x:c>
      <x:c r="D16" s="85" t="str">
        <x:v>Kolikšen je 12-mesečni obseg za proces »Capacity planning« in kateri imenovalec ga najbolje pojasni?</x:v>
      </x:c>
      <x:c r="E16" s="85" t="str">
        <x:v>numeric+unit</x:v>
      </x:c>
      <x:c r="F16" s="85" t="str">
        <x:v>PROC-03</x:v>
      </x:c>
      <x:c r="G16" s="85" t="str">
        <x:v>normalizacija</x:v>
      </x:c>
      <x:c r="H16" s="85" t="str">
        <x:v>pogojno</x:v>
      </x:c>
    </x:row>
    <x:row r="17" ht="21.600000381469727" hidden="0" customHeight="1">
      <x:c r="A17" s="83" t="str">
        <x:v>Q-013</x:v>
      </x:c>
      <x:c r="B17" s="83" t="str">
        <x:v>audit</x:v>
      </x:c>
      <x:c r="C17" s="83" t="str">
        <x:v>transport</x:v>
      </x:c>
      <x:c r="D17" s="83" t="str">
        <x:v>Koliko časa, napak, zamud ali neobračunanih zneskov nastane v procesu »Capacity planning« in iz katerega vira to veste?</x:v>
      </x:c>
      <x:c r="E17" s="83" t="str">
        <x:v>numeric+source</x:v>
      </x:c>
      <x:c r="F17" s="83" t="str">
        <x:v>PROC-03</x:v>
      </x:c>
      <x:c r="G17" s="83" t="str">
        <x:v>baseline + confidence</x:v>
      </x:c>
      <x:c r="H17" s="83" t="str">
        <x:v>pogojno</x:v>
      </x:c>
    </x:row>
    <x:row r="18" ht="21.600000381469727" hidden="0" customHeight="1">
      <x:c r="A18" s="85" t="str">
        <x:v>Q-014</x:v>
      </x:c>
      <x:c r="B18" s="85" t="str">
        <x:v>audit</x:v>
      </x:c>
      <x:c r="C18" s="85" t="str">
        <x:v>transport</x:v>
      </x:c>
      <x:c r="D18" s="85" t="str">
        <x:v>Kolikšen je 12-mesečni obseg za proces »Load and route planning« in kateri imenovalec ga najbolje pojasni?</x:v>
      </x:c>
      <x:c r="E18" s="85" t="str">
        <x:v>numeric+unit</x:v>
      </x:c>
      <x:c r="F18" s="85" t="str">
        <x:v>PROC-04</x:v>
      </x:c>
      <x:c r="G18" s="85" t="str">
        <x:v>normalizacija</x:v>
      </x:c>
      <x:c r="H18" s="85" t="str">
        <x:v>pogojno</x:v>
      </x:c>
    </x:row>
    <x:row r="19" ht="21.600000381469727" hidden="0" customHeight="1">
      <x:c r="A19" s="83" t="str">
        <x:v>Q-015</x:v>
      </x:c>
      <x:c r="B19" s="83" t="str">
        <x:v>audit</x:v>
      </x:c>
      <x:c r="C19" s="83" t="str">
        <x:v>transport</x:v>
      </x:c>
      <x:c r="D19" s="83" t="str">
        <x:v>Koliko časa, napak, zamud ali neobračunanih zneskov nastane v procesu »Load and route planning« in iz katerega vira to veste?</x:v>
      </x:c>
      <x:c r="E19" s="83" t="str">
        <x:v>numeric+source</x:v>
      </x:c>
      <x:c r="F19" s="83" t="str">
        <x:v>PROC-04</x:v>
      </x:c>
      <x:c r="G19" s="83" t="str">
        <x:v>baseline + confidence</x:v>
      </x:c>
      <x:c r="H19" s="83" t="str">
        <x:v>pogojno</x:v>
      </x:c>
    </x:row>
    <x:row r="20" ht="15" hidden="0" customHeight="1">
      <x:c r="A20" s="85" t="str">
        <x:v>Q-016</x:v>
      </x:c>
      <x:c r="B20" s="85" t="str">
        <x:v>audit</x:v>
      </x:c>
      <x:c r="C20" s="85" t="str">
        <x:v>transport</x:v>
      </x:c>
      <x:c r="D20" s="85" t="str">
        <x:v>Kolikšen je 12-mesečni obseg za proces »Dispatch« in kateri imenovalec ga najbolje pojasni?</x:v>
      </x:c>
      <x:c r="E20" s="85" t="str">
        <x:v>numeric+unit</x:v>
      </x:c>
      <x:c r="F20" s="85" t="str">
        <x:v>PROC-05</x:v>
      </x:c>
      <x:c r="G20" s="85" t="str">
        <x:v>normalizacija</x:v>
      </x:c>
      <x:c r="H20" s="85" t="str">
        <x:v>pogojno</x:v>
      </x:c>
    </x:row>
    <x:row r="21" ht="21.600000381469727" hidden="0" customHeight="1">
      <x:c r="A21" s="83" t="str">
        <x:v>Q-017</x:v>
      </x:c>
      <x:c r="B21" s="83" t="str">
        <x:v>audit</x:v>
      </x:c>
      <x:c r="C21" s="83" t="str">
        <x:v>transport</x:v>
      </x:c>
      <x:c r="D21" s="83" t="str">
        <x:v>Koliko časa, napak, zamud ali neobračunanih zneskov nastane v procesu »Dispatch« in iz katerega vira to veste?</x:v>
      </x:c>
      <x:c r="E21" s="83" t="str">
        <x:v>numeric+source</x:v>
      </x:c>
      <x:c r="F21" s="83" t="str">
        <x:v>PROC-05</x:v>
      </x:c>
      <x:c r="G21" s="83" t="str">
        <x:v>baseline + confidence</x:v>
      </x:c>
      <x:c r="H21" s="83" t="str">
        <x:v>pogojno</x:v>
      </x:c>
    </x:row>
    <x:row r="22" ht="21.600000381469727" hidden="0" customHeight="1">
      <x:c r="A22" s="85" t="str">
        <x:v>Q-018</x:v>
      </x:c>
      <x:c r="B22" s="85" t="str">
        <x:v>audit</x:v>
      </x:c>
      <x:c r="C22" s="85" t="str">
        <x:v>špedicija</x:v>
      </x:c>
      <x:c r="D22" s="85" t="str">
        <x:v>Kolikšen je 12-mesečni obseg za proces »Subcarrier procurement« in kateri imenovalec ga najbolje pojasni?</x:v>
      </x:c>
      <x:c r="E22" s="85" t="str">
        <x:v>numeric+unit</x:v>
      </x:c>
      <x:c r="F22" s="85" t="str">
        <x:v>PROC-06</x:v>
      </x:c>
      <x:c r="G22" s="85" t="str">
        <x:v>normalizacija</x:v>
      </x:c>
      <x:c r="H22" s="85" t="str">
        <x:v>pogojno</x:v>
      </x:c>
    </x:row>
    <x:row r="23" ht="21.600000381469727" hidden="0" customHeight="1">
      <x:c r="A23" s="83" t="str">
        <x:v>Q-019</x:v>
      </x:c>
      <x:c r="B23" s="83" t="str">
        <x:v>audit</x:v>
      </x:c>
      <x:c r="C23" s="83" t="str">
        <x:v>špedicija</x:v>
      </x:c>
      <x:c r="D23" s="83" t="str">
        <x:v>Koliko časa, napak, zamud ali neobračunanih zneskov nastane v procesu »Subcarrier procurement« in iz katerega vira to veste?</x:v>
      </x:c>
      <x:c r="E23" s="83" t="str">
        <x:v>numeric+source</x:v>
      </x:c>
      <x:c r="F23" s="83" t="str">
        <x:v>PROC-06</x:v>
      </x:c>
      <x:c r="G23" s="83" t="str">
        <x:v>baseline + confidence</x:v>
      </x:c>
      <x:c r="H23" s="83" t="str">
        <x:v>pogojno</x:v>
      </x:c>
    </x:row>
    <x:row r="24" ht="15" hidden="0" customHeight="1">
      <x:c r="A24" s="85" t="str">
        <x:v>Q-020</x:v>
      </x:c>
      <x:c r="B24" s="85" t="str">
        <x:v>audit</x:v>
      </x:c>
      <x:c r="C24" s="85" t="str">
        <x:v>izvedba</x:v>
      </x:c>
      <x:c r="D24" s="85" t="str">
        <x:v>Kolikšen je 12-mesečni obseg za proces »Pickup and loading« in kateri imenovalec ga najbolje pojasni?</x:v>
      </x:c>
      <x:c r="E24" s="85" t="str">
        <x:v>numeric+unit</x:v>
      </x:c>
      <x:c r="F24" s="85" t="str">
        <x:v>PROC-07</x:v>
      </x:c>
      <x:c r="G24" s="85" t="str">
        <x:v>normalizacija</x:v>
      </x:c>
      <x:c r="H24" s="85" t="str">
        <x:v>pogojno</x:v>
      </x:c>
    </x:row>
    <x:row r="25" ht="21.600000381469727" hidden="0" customHeight="1">
      <x:c r="A25" s="83" t="str">
        <x:v>Q-021</x:v>
      </x:c>
      <x:c r="B25" s="83" t="str">
        <x:v>audit</x:v>
      </x:c>
      <x:c r="C25" s="83" t="str">
        <x:v>izvedba</x:v>
      </x:c>
      <x:c r="D25" s="83" t="str">
        <x:v>Koliko časa, napak, zamud ali neobračunanih zneskov nastane v procesu »Pickup and loading« in iz katerega vira to veste?</x:v>
      </x:c>
      <x:c r="E25" s="83" t="str">
        <x:v>numeric+source</x:v>
      </x:c>
      <x:c r="F25" s="83" t="str">
        <x:v>PROC-07</x:v>
      </x:c>
      <x:c r="G25" s="83" t="str">
        <x:v>baseline + confidence</x:v>
      </x:c>
      <x:c r="H25" s="83" t="str">
        <x:v>pogojno</x:v>
      </x:c>
    </x:row>
    <x:row r="26" ht="15" hidden="0" customHeight="1">
      <x:c r="A26" s="85" t="str">
        <x:v>Q-022</x:v>
      </x:c>
      <x:c r="B26" s="85" t="str">
        <x:v>audit</x:v>
      </x:c>
      <x:c r="C26" s="85" t="str">
        <x:v>izvedba</x:v>
      </x:c>
      <x:c r="D26" s="85" t="str">
        <x:v>Kolikšen je 12-mesečni obseg za proces »In-transit control« in kateri imenovalec ga najbolje pojasni?</x:v>
      </x:c>
      <x:c r="E26" s="85" t="str">
        <x:v>numeric+unit</x:v>
      </x:c>
      <x:c r="F26" s="85" t="str">
        <x:v>PROC-08</x:v>
      </x:c>
      <x:c r="G26" s="85" t="str">
        <x:v>normalizacija</x:v>
      </x:c>
      <x:c r="H26" s="85" t="str">
        <x:v>pogojno</x:v>
      </x:c>
    </x:row>
    <x:row r="27" ht="21.600000381469727" hidden="0" customHeight="1">
      <x:c r="A27" s="83" t="str">
        <x:v>Q-023</x:v>
      </x:c>
      <x:c r="B27" s="83" t="str">
        <x:v>audit</x:v>
      </x:c>
      <x:c r="C27" s="83" t="str">
        <x:v>izvedba</x:v>
      </x:c>
      <x:c r="D27" s="83" t="str">
        <x:v>Koliko časa, napak, zamud ali neobračunanih zneskov nastane v procesu »In-transit control« in iz katerega vira to veste?</x:v>
      </x:c>
      <x:c r="E27" s="83" t="str">
        <x:v>numeric+source</x:v>
      </x:c>
      <x:c r="F27" s="83" t="str">
        <x:v>PROC-08</x:v>
      </x:c>
      <x:c r="G27" s="83" t="str">
        <x:v>baseline + confidence</x:v>
      </x:c>
      <x:c r="H27" s="83" t="str">
        <x:v>pogojno</x:v>
      </x:c>
    </x:row>
    <x:row r="28" ht="15" hidden="0" customHeight="1">
      <x:c r="A28" s="85" t="str">
        <x:v>Q-024</x:v>
      </x:c>
      <x:c r="B28" s="85" t="str">
        <x:v>audit</x:v>
      </x:c>
      <x:c r="C28" s="85" t="str">
        <x:v>izvedba</x:v>
      </x:c>
      <x:c r="D28" s="85" t="str">
        <x:v>Kolikšen je 12-mesečni obseg za proces »Delivery and ePOD« in kateri imenovalec ga najbolje pojasni?</x:v>
      </x:c>
      <x:c r="E28" s="85" t="str">
        <x:v>numeric+unit</x:v>
      </x:c>
      <x:c r="F28" s="85" t="str">
        <x:v>PROC-09</x:v>
      </x:c>
      <x:c r="G28" s="85" t="str">
        <x:v>normalizacija</x:v>
      </x:c>
      <x:c r="H28" s="85" t="str">
        <x:v>pogojno</x:v>
      </x:c>
    </x:row>
    <x:row r="29" ht="21.600000381469727" hidden="0" customHeight="1">
      <x:c r="A29" s="83" t="str">
        <x:v>Q-025</x:v>
      </x:c>
      <x:c r="B29" s="83" t="str">
        <x:v>audit</x:v>
      </x:c>
      <x:c r="C29" s="83" t="str">
        <x:v>izvedba</x:v>
      </x:c>
      <x:c r="D29" s="83" t="str">
        <x:v>Koliko časa, napak, zamud ali neobračunanih zneskov nastane v procesu »Delivery and ePOD« in iz katerega vira to veste?</x:v>
      </x:c>
      <x:c r="E29" s="83" t="str">
        <x:v>numeric+source</x:v>
      </x:c>
      <x:c r="F29" s="83" t="str">
        <x:v>PROC-09</x:v>
      </x:c>
      <x:c r="G29" s="83" t="str">
        <x:v>baseline + confidence</x:v>
      </x:c>
      <x:c r="H29" s="83" t="str">
        <x:v>pogojno</x:v>
      </x:c>
    </x:row>
    <x:row r="30" ht="15" hidden="0" customHeight="1">
      <x:c r="A30" s="85" t="str">
        <x:v>Q-026</x:v>
      </x:c>
      <x:c r="B30" s="85" t="str">
        <x:v>audit</x:v>
      </x:c>
      <x:c r="C30" s="85" t="str">
        <x:v>finance</x:v>
      </x:c>
      <x:c r="D30" s="85" t="str">
        <x:v>Kolikšen je 12-mesečni obseg za proces »Freight audit« in kateri imenovalec ga najbolje pojasni?</x:v>
      </x:c>
      <x:c r="E30" s="85" t="str">
        <x:v>numeric+unit</x:v>
      </x:c>
      <x:c r="F30" s="85" t="str">
        <x:v>PROC-10</x:v>
      </x:c>
      <x:c r="G30" s="85" t="str">
        <x:v>normalizacija</x:v>
      </x:c>
      <x:c r="H30" s="85" t="str">
        <x:v>pogojno</x:v>
      </x:c>
    </x:row>
    <x:row r="31" ht="21.600000381469727" hidden="0" customHeight="1">
      <x:c r="A31" s="83" t="str">
        <x:v>Q-027</x:v>
      </x:c>
      <x:c r="B31" s="83" t="str">
        <x:v>audit</x:v>
      </x:c>
      <x:c r="C31" s="83" t="str">
        <x:v>finance</x:v>
      </x:c>
      <x:c r="D31" s="83" t="str">
        <x:v>Koliko časa, napak, zamud ali neobračunanih zneskov nastane v procesu »Freight audit« in iz katerega vira to veste?</x:v>
      </x:c>
      <x:c r="E31" s="83" t="str">
        <x:v>numeric+source</x:v>
      </x:c>
      <x:c r="F31" s="83" t="str">
        <x:v>PROC-10</x:v>
      </x:c>
      <x:c r="G31" s="83" t="str">
        <x:v>baseline + confidence</x:v>
      </x:c>
      <x:c r="H31" s="83" t="str">
        <x:v>pogojno</x:v>
      </x:c>
    </x:row>
    <x:row r="32" ht="15" hidden="0" customHeight="1">
      <x:c r="A32" s="85" t="str">
        <x:v>Q-028</x:v>
      </x:c>
      <x:c r="B32" s="85" t="str">
        <x:v>audit</x:v>
      </x:c>
      <x:c r="C32" s="85" t="str">
        <x:v>finance</x:v>
      </x:c>
      <x:c r="D32" s="85" t="str">
        <x:v>Kolikšen je 12-mesečni obseg za proces »Transport billing« in kateri imenovalec ga najbolje pojasni?</x:v>
      </x:c>
      <x:c r="E32" s="85" t="str">
        <x:v>numeric+unit</x:v>
      </x:c>
      <x:c r="F32" s="85" t="str">
        <x:v>PROC-11</x:v>
      </x:c>
      <x:c r="G32" s="85" t="str">
        <x:v>normalizacija</x:v>
      </x:c>
      <x:c r="H32" s="85" t="str">
        <x:v>pogojno</x:v>
      </x:c>
    </x:row>
    <x:row r="33" ht="21.600000381469727" hidden="0" customHeight="1">
      <x:c r="A33" s="83" t="str">
        <x:v>Q-029</x:v>
      </x:c>
      <x:c r="B33" s="83" t="str">
        <x:v>audit</x:v>
      </x:c>
      <x:c r="C33" s="83" t="str">
        <x:v>finance</x:v>
      </x:c>
      <x:c r="D33" s="83" t="str">
        <x:v>Koliko časa, napak, zamud ali neobračunanih zneskov nastane v procesu »Transport billing« in iz katerega vira to veste?</x:v>
      </x:c>
      <x:c r="E33" s="83" t="str">
        <x:v>numeric+source</x:v>
      </x:c>
      <x:c r="F33" s="83" t="str">
        <x:v>PROC-11</x:v>
      </x:c>
      <x:c r="G33" s="83" t="str">
        <x:v>baseline + confidence</x:v>
      </x:c>
      <x:c r="H33" s="83" t="str">
        <x:v>pogojno</x:v>
      </x:c>
    </x:row>
    <x:row r="34" ht="21.600000381469727" hidden="0" customHeight="1">
      <x:c r="A34" s="85" t="str">
        <x:v>Q-030</x:v>
      </x:c>
      <x:c r="B34" s="85" t="str">
        <x:v>audit</x:v>
      </x:c>
      <x:c r="C34" s="85" t="str">
        <x:v>finance</x:v>
      </x:c>
      <x:c r="D34" s="85" t="str">
        <x:v>Kolikšen je 12-mesečni obseg za proces »Receivables and claims« in kateri imenovalec ga najbolje pojasni?</x:v>
      </x:c>
      <x:c r="E34" s="85" t="str">
        <x:v>numeric+unit</x:v>
      </x:c>
      <x:c r="F34" s="85" t="str">
        <x:v>PROC-12</x:v>
      </x:c>
      <x:c r="G34" s="85" t="str">
        <x:v>normalizacija</x:v>
      </x:c>
      <x:c r="H34" s="85" t="str">
        <x:v>pogojno</x:v>
      </x:c>
    </x:row>
    <x:row r="35" ht="21.600000381469727" hidden="0" customHeight="1">
      <x:c r="A35" s="83" t="str">
        <x:v>Q-031</x:v>
      </x:c>
      <x:c r="B35" s="83" t="str">
        <x:v>audit</x:v>
      </x:c>
      <x:c r="C35" s="83" t="str">
        <x:v>finance</x:v>
      </x:c>
      <x:c r="D35" s="83" t="str">
        <x:v>Koliko časa, napak, zamud ali neobračunanih zneskov nastane v procesu »Receivables and claims« in iz katerega vira to veste?</x:v>
      </x:c>
      <x:c r="E35" s="83" t="str">
        <x:v>numeric+source</x:v>
      </x:c>
      <x:c r="F35" s="83" t="str">
        <x:v>PROC-12</x:v>
      </x:c>
      <x:c r="G35" s="83" t="str">
        <x:v>baseline + confidence</x:v>
      </x:c>
      <x:c r="H35" s="83" t="str">
        <x:v>pogojno</x:v>
      </x:c>
    </x:row>
    <x:row r="36" ht="15" hidden="0" customHeight="1">
      <x:c r="A36" s="85" t="str">
        <x:v>Q-032</x:v>
      </x:c>
      <x:c r="B36" s="85" t="str">
        <x:v>audit</x:v>
      </x:c>
      <x:c r="C36" s="85" t="str">
        <x:v>skladišče</x:v>
      </x:c>
      <x:c r="D36" s="85" t="str">
        <x:v>Kolikšen je 12-mesečni obseg za proces »Inbound appointment« in kateri imenovalec ga najbolje pojasni?</x:v>
      </x:c>
      <x:c r="E36" s="85" t="str">
        <x:v>numeric+unit</x:v>
      </x:c>
      <x:c r="F36" s="85" t="str">
        <x:v>PROC-13</x:v>
      </x:c>
      <x:c r="G36" s="85" t="str">
        <x:v>normalizacija</x:v>
      </x:c>
      <x:c r="H36" s="85" t="str">
        <x:v>pogojno</x:v>
      </x:c>
    </x:row>
    <x:row r="37" ht="21.600000381469727" hidden="0" customHeight="1">
      <x:c r="A37" s="83" t="str">
        <x:v>Q-033</x:v>
      </x:c>
      <x:c r="B37" s="83" t="str">
        <x:v>audit</x:v>
      </x:c>
      <x:c r="C37" s="83" t="str">
        <x:v>skladišče</x:v>
      </x:c>
      <x:c r="D37" s="83" t="str">
        <x:v>Koliko časa, napak, zamud ali neobračunanih zneskov nastane v procesu »Inbound appointment« in iz katerega vira to veste?</x:v>
      </x:c>
      <x:c r="E37" s="83" t="str">
        <x:v>numeric+source</x:v>
      </x:c>
      <x:c r="F37" s="83" t="str">
        <x:v>PROC-13</x:v>
      </x:c>
      <x:c r="G37" s="83" t="str">
        <x:v>baseline + confidence</x:v>
      </x:c>
      <x:c r="H37" s="83" t="str">
        <x:v>pogojno</x:v>
      </x:c>
    </x:row>
    <x:row r="38" ht="15" hidden="0" customHeight="1">
      <x:c r="A38" s="85" t="str">
        <x:v>Q-034</x:v>
      </x:c>
      <x:c r="B38" s="85" t="str">
        <x:v>audit</x:v>
      </x:c>
      <x:c r="C38" s="85" t="str">
        <x:v>skladišče</x:v>
      </x:c>
      <x:c r="D38" s="85" t="str">
        <x:v>Kolikšen je 12-mesečni obseg za proces »Receiving and QC« in kateri imenovalec ga najbolje pojasni?</x:v>
      </x:c>
      <x:c r="E38" s="85" t="str">
        <x:v>numeric+unit</x:v>
      </x:c>
      <x:c r="F38" s="85" t="str">
        <x:v>PROC-14</x:v>
      </x:c>
      <x:c r="G38" s="85" t="str">
        <x:v>normalizacija</x:v>
      </x:c>
      <x:c r="H38" s="85" t="str">
        <x:v>pogojno</x:v>
      </x:c>
    </x:row>
    <x:row r="39" ht="21.600000381469727" hidden="0" customHeight="1">
      <x:c r="A39" s="83" t="str">
        <x:v>Q-035</x:v>
      </x:c>
      <x:c r="B39" s="83" t="str">
        <x:v>audit</x:v>
      </x:c>
      <x:c r="C39" s="83" t="str">
        <x:v>skladišče</x:v>
      </x:c>
      <x:c r="D39" s="83" t="str">
        <x:v>Koliko časa, napak, zamud ali neobračunanih zneskov nastane v procesu »Receiving and QC« in iz katerega vira to veste?</x:v>
      </x:c>
      <x:c r="E39" s="83" t="str">
        <x:v>numeric+source</x:v>
      </x:c>
      <x:c r="F39" s="83" t="str">
        <x:v>PROC-14</x:v>
      </x:c>
      <x:c r="G39" s="83" t="str">
        <x:v>baseline + confidence</x:v>
      </x:c>
      <x:c r="H39" s="83" t="str">
        <x:v>pogojno</x:v>
      </x:c>
    </x:row>
    <x:row r="40">
      <x:c r="A40" s="85" t="str">
        <x:v>Q-036</x:v>
      </x:c>
      <x:c r="B40" s="85" t="str">
        <x:v>audit</x:v>
      </x:c>
      <x:c r="C40" s="85" t="str">
        <x:v>skladišče</x:v>
      </x:c>
      <x:c r="D40" s="85" t="str">
        <x:v>Kolikšen je 12-mesečni obseg za proces »Put-away« in kateri imenovalec ga najbolje pojasni?</x:v>
      </x:c>
      <x:c r="E40" s="85" t="str">
        <x:v>numeric+unit</x:v>
      </x:c>
      <x:c r="F40" s="85" t="str">
        <x:v>PROC-15</x:v>
      </x:c>
      <x:c r="G40" s="85" t="str">
        <x:v>normalizacija</x:v>
      </x:c>
      <x:c r="H40" s="85" t="str">
        <x:v>pogojno</x:v>
      </x:c>
    </x:row>
    <x:row r="41">
      <x:c r="A41" s="83" t="str">
        <x:v>Q-037</x:v>
      </x:c>
      <x:c r="B41" s="83" t="str">
        <x:v>audit</x:v>
      </x:c>
      <x:c r="C41" s="83" t="str">
        <x:v>skladišče</x:v>
      </x:c>
      <x:c r="D41" s="83" t="str">
        <x:v>Koliko časa, napak, zamud ali neobračunanih zneskov nastane v procesu »Put-away« in iz katerega vira to veste?</x:v>
      </x:c>
      <x:c r="E41" s="83" t="str">
        <x:v>numeric+source</x:v>
      </x:c>
      <x:c r="F41" s="83" t="str">
        <x:v>PROC-15</x:v>
      </x:c>
      <x:c r="G41" s="83" t="str">
        <x:v>baseline + confidence</x:v>
      </x:c>
      <x:c r="H41" s="83" t="str">
        <x:v>pogojno</x:v>
      </x:c>
    </x:row>
    <x:row r="42">
      <x:c r="A42" s="85" t="str">
        <x:v>Q-038</x:v>
      </x:c>
      <x:c r="B42" s="85" t="str">
        <x:v>audit</x:v>
      </x:c>
      <x:c r="C42" s="85" t="str">
        <x:v>skladišče</x:v>
      </x:c>
      <x:c r="D42" s="85" t="str">
        <x:v>Kolikšen je 12-mesečni obseg za proces »Replenishment« in kateri imenovalec ga najbolje pojasni?</x:v>
      </x:c>
      <x:c r="E42" s="85" t="str">
        <x:v>numeric+unit</x:v>
      </x:c>
      <x:c r="F42" s="85" t="str">
        <x:v>PROC-16</x:v>
      </x:c>
      <x:c r="G42" s="85" t="str">
        <x:v>normalizacija</x:v>
      </x:c>
      <x:c r="H42" s="85" t="str">
        <x:v>pogojno</x:v>
      </x:c>
    </x:row>
    <x:row r="43">
      <x:c r="A43" s="83" t="str">
        <x:v>Q-039</x:v>
      </x:c>
      <x:c r="B43" s="83" t="str">
        <x:v>audit</x:v>
      </x:c>
      <x:c r="C43" s="83" t="str">
        <x:v>skladišče</x:v>
      </x:c>
      <x:c r="D43" s="83" t="str">
        <x:v>Koliko časa, napak, zamud ali neobračunanih zneskov nastane v procesu »Replenishment« in iz katerega vira to veste?</x:v>
      </x:c>
      <x:c r="E43" s="83" t="str">
        <x:v>numeric+source</x:v>
      </x:c>
      <x:c r="F43" s="83" t="str">
        <x:v>PROC-16</x:v>
      </x:c>
      <x:c r="G43" s="83" t="str">
        <x:v>baseline + confidence</x:v>
      </x:c>
      <x:c r="H43" s="83" t="str">
        <x:v>pogojno</x:v>
      </x:c>
    </x:row>
    <x:row r="44">
      <x:c r="A44" s="85" t="str">
        <x:v>Q-040</x:v>
      </x:c>
      <x:c r="B44" s="85" t="str">
        <x:v>audit</x:v>
      </x:c>
      <x:c r="C44" s="85" t="str">
        <x:v>skladišče</x:v>
      </x:c>
      <x:c r="D44" s="85" t="str">
        <x:v>Kolikšen je 12-mesečni obseg za proces »Picking« in kateri imenovalec ga najbolje pojasni?</x:v>
      </x:c>
      <x:c r="E44" s="85" t="str">
        <x:v>numeric+unit</x:v>
      </x:c>
      <x:c r="F44" s="85" t="str">
        <x:v>PROC-17</x:v>
      </x:c>
      <x:c r="G44" s="85" t="str">
        <x:v>normalizacija</x:v>
      </x:c>
      <x:c r="H44" s="85" t="str">
        <x:v>pogojno</x:v>
      </x:c>
    </x:row>
    <x:row r="45">
      <x:c r="A45" s="83" t="str">
        <x:v>Q-041</x:v>
      </x:c>
      <x:c r="B45" s="83" t="str">
        <x:v>audit</x:v>
      </x:c>
      <x:c r="C45" s="83" t="str">
        <x:v>skladišče</x:v>
      </x:c>
      <x:c r="D45" s="83" t="str">
        <x:v>Koliko časa, napak, zamud ali neobračunanih zneskov nastane v procesu »Picking« in iz katerega vira to veste?</x:v>
      </x:c>
      <x:c r="E45" s="83" t="str">
        <x:v>numeric+source</x:v>
      </x:c>
      <x:c r="F45" s="83" t="str">
        <x:v>PROC-17</x:v>
      </x:c>
      <x:c r="G45" s="83" t="str">
        <x:v>baseline + confidence</x:v>
      </x:c>
      <x:c r="H45" s="83" t="str">
        <x:v>pogojno</x:v>
      </x:c>
    </x:row>
    <x:row r="46">
      <x:c r="A46" s="85" t="str">
        <x:v>Q-042</x:v>
      </x:c>
      <x:c r="B46" s="85" t="str">
        <x:v>audit</x:v>
      </x:c>
      <x:c r="C46" s="85" t="str">
        <x:v>skladišče</x:v>
      </x:c>
      <x:c r="D46" s="85" t="str">
        <x:v>Kolikšen je 12-mesečni obseg za proces »Packing and staging« in kateri imenovalec ga najbolje pojasni?</x:v>
      </x:c>
      <x:c r="E46" s="85" t="str">
        <x:v>numeric+unit</x:v>
      </x:c>
      <x:c r="F46" s="85" t="str">
        <x:v>PROC-18</x:v>
      </x:c>
      <x:c r="G46" s="85" t="str">
        <x:v>normalizacija</x:v>
      </x:c>
      <x:c r="H46" s="85" t="str">
        <x:v>pogojno</x:v>
      </x:c>
    </x:row>
    <x:row r="47">
      <x:c r="A47" s="83" t="str">
        <x:v>Q-043</x:v>
      </x:c>
      <x:c r="B47" s="83" t="str">
        <x:v>audit</x:v>
      </x:c>
      <x:c r="C47" s="83" t="str">
        <x:v>skladišče</x:v>
      </x:c>
      <x:c r="D47" s="83" t="str">
        <x:v>Koliko časa, napak, zamud ali neobračunanih zneskov nastane v procesu »Packing and staging« in iz katerega vira to veste?</x:v>
      </x:c>
      <x:c r="E47" s="83" t="str">
        <x:v>numeric+source</x:v>
      </x:c>
      <x:c r="F47" s="83" t="str">
        <x:v>PROC-18</x:v>
      </x:c>
      <x:c r="G47" s="83" t="str">
        <x:v>baseline + confidence</x:v>
      </x:c>
      <x:c r="H47" s="83" t="str">
        <x:v>pogojno</x:v>
      </x:c>
    </x:row>
    <x:row r="48">
      <x:c r="A48" s="85" t="str">
        <x:v>Q-044</x:v>
      </x:c>
      <x:c r="B48" s="85" t="str">
        <x:v>audit</x:v>
      </x:c>
      <x:c r="C48" s="85" t="str">
        <x:v>skladišče</x:v>
      </x:c>
      <x:c r="D48" s="85" t="str">
        <x:v>Kolikšen je 12-mesečni obseg za proces »Shipping« in kateri imenovalec ga najbolje pojasni?</x:v>
      </x:c>
      <x:c r="E48" s="85" t="str">
        <x:v>numeric+unit</x:v>
      </x:c>
      <x:c r="F48" s="85" t="str">
        <x:v>PROC-19</x:v>
      </x:c>
      <x:c r="G48" s="85" t="str">
        <x:v>normalizacija</x:v>
      </x:c>
      <x:c r="H48" s="85" t="str">
        <x:v>pogojno</x:v>
      </x:c>
    </x:row>
    <x:row r="49">
      <x:c r="A49" s="83" t="str">
        <x:v>Q-045</x:v>
      </x:c>
      <x:c r="B49" s="83" t="str">
        <x:v>audit</x:v>
      </x:c>
      <x:c r="C49" s="83" t="str">
        <x:v>skladišče</x:v>
      </x:c>
      <x:c r="D49" s="83" t="str">
        <x:v>Koliko časa, napak, zamud ali neobračunanih zneskov nastane v procesu »Shipping« in iz katerega vira to veste?</x:v>
      </x:c>
      <x:c r="E49" s="83" t="str">
        <x:v>numeric+source</x:v>
      </x:c>
      <x:c r="F49" s="83" t="str">
        <x:v>PROC-19</x:v>
      </x:c>
      <x:c r="G49" s="83" t="str">
        <x:v>baseline + confidence</x:v>
      </x:c>
      <x:c r="H49" s="83" t="str">
        <x:v>pogojno</x:v>
      </x:c>
    </x:row>
    <x:row r="50">
      <x:c r="A50" s="85" t="str">
        <x:v>Q-046</x:v>
      </x:c>
      <x:c r="B50" s="85" t="str">
        <x:v>audit</x:v>
      </x:c>
      <x:c r="C50" s="85" t="str">
        <x:v>skladišče</x:v>
      </x:c>
      <x:c r="D50" s="85" t="str">
        <x:v>Kolikšen je 12-mesečni obseg za proces »Inventory control« in kateri imenovalec ga najbolje pojasni?</x:v>
      </x:c>
      <x:c r="E50" s="85" t="str">
        <x:v>numeric+unit</x:v>
      </x:c>
      <x:c r="F50" s="85" t="str">
        <x:v>PROC-20</x:v>
      </x:c>
      <x:c r="G50" s="85" t="str">
        <x:v>normalizacija</x:v>
      </x:c>
      <x:c r="H50" s="85" t="str">
        <x:v>pogojno</x:v>
      </x:c>
    </x:row>
    <x:row r="51">
      <x:c r="A51" s="83" t="str">
        <x:v>Q-047</x:v>
      </x:c>
      <x:c r="B51" s="83" t="str">
        <x:v>audit</x:v>
      </x:c>
      <x:c r="C51" s="83" t="str">
        <x:v>skladišče</x:v>
      </x:c>
      <x:c r="D51" s="83" t="str">
        <x:v>Koliko časa, napak, zamud ali neobračunanih zneskov nastane v procesu »Inventory control« in iz katerega vira to veste?</x:v>
      </x:c>
      <x:c r="E51" s="83" t="str">
        <x:v>numeric+source</x:v>
      </x:c>
      <x:c r="F51" s="83" t="str">
        <x:v>PROC-20</x:v>
      </x:c>
      <x:c r="G51" s="83" t="str">
        <x:v>baseline + confidence</x:v>
      </x:c>
      <x:c r="H51" s="83" t="str">
        <x:v>pogojno</x:v>
      </x:c>
    </x:row>
    <x:row r="52">
      <x:c r="A52" s="85" t="str">
        <x:v>Q-048</x:v>
      </x:c>
      <x:c r="B52" s="85" t="str">
        <x:v>audit</x:v>
      </x:c>
      <x:c r="C52" s="85" t="str">
        <x:v>skladišče</x:v>
      </x:c>
      <x:c r="D52" s="85" t="str">
        <x:v>Kolikšen je 12-mesečni obseg za proces »Returns« in kateri imenovalec ga najbolje pojasni?</x:v>
      </x:c>
      <x:c r="E52" s="85" t="str">
        <x:v>numeric+unit</x:v>
      </x:c>
      <x:c r="F52" s="85" t="str">
        <x:v>PROC-21</x:v>
      </x:c>
      <x:c r="G52" s="85" t="str">
        <x:v>normalizacija</x:v>
      </x:c>
      <x:c r="H52" s="85" t="str">
        <x:v>pogojno</x:v>
      </x:c>
    </x:row>
    <x:row r="53">
      <x:c r="A53" s="83" t="str">
        <x:v>Q-049</x:v>
      </x:c>
      <x:c r="B53" s="83" t="str">
        <x:v>audit</x:v>
      </x:c>
      <x:c r="C53" s="83" t="str">
        <x:v>skladišče</x:v>
      </x:c>
      <x:c r="D53" s="83" t="str">
        <x:v>Koliko časa, napak, zamud ali neobračunanih zneskov nastane v procesu »Returns« in iz katerega vira to veste?</x:v>
      </x:c>
      <x:c r="E53" s="83" t="str">
        <x:v>numeric+source</x:v>
      </x:c>
      <x:c r="F53" s="83" t="str">
        <x:v>PROC-21</x:v>
      </x:c>
      <x:c r="G53" s="83" t="str">
        <x:v>baseline + confidence</x:v>
      </x:c>
      <x:c r="H53" s="83" t="str">
        <x:v>pogojno</x:v>
      </x:c>
    </x:row>
    <x:row r="54">
      <x:c r="A54" s="85" t="str">
        <x:v>Q-050</x:v>
      </x:c>
      <x:c r="B54" s="85" t="str">
        <x:v>audit</x:v>
      </x:c>
      <x:c r="C54" s="85" t="str">
        <x:v>3PL finance</x:v>
      </x:c>
      <x:c r="D54" s="85" t="str">
        <x:v>Kolikšen je 12-mesečni obseg za proces »3PL service billing« in kateri imenovalec ga najbolje pojasni?</x:v>
      </x:c>
      <x:c r="E54" s="85" t="str">
        <x:v>numeric+unit</x:v>
      </x:c>
      <x:c r="F54" s="85" t="str">
        <x:v>PROC-22</x:v>
      </x:c>
      <x:c r="G54" s="85" t="str">
        <x:v>normalizacija</x:v>
      </x:c>
      <x:c r="H54" s="85" t="str">
        <x:v>pogojno</x:v>
      </x:c>
    </x:row>
    <x:row r="55">
      <x:c r="A55" s="83" t="str">
        <x:v>Q-051</x:v>
      </x:c>
      <x:c r="B55" s="83" t="str">
        <x:v>audit</x:v>
      </x:c>
      <x:c r="C55" s="83" t="str">
        <x:v>3PL finance</x:v>
      </x:c>
      <x:c r="D55" s="83" t="str">
        <x:v>Koliko časa, napak, zamud ali neobračunanih zneskov nastane v procesu »3PL service billing« in iz katerega vira to veste?</x:v>
      </x:c>
      <x:c r="E55" s="83" t="str">
        <x:v>numeric+source</x:v>
      </x:c>
      <x:c r="F55" s="83" t="str">
        <x:v>PROC-22</x:v>
      </x:c>
      <x:c r="G55" s="83" t="str">
        <x:v>baseline + confidence</x:v>
      </x:c>
      <x:c r="H55" s="83" t="str">
        <x:v>pogojno</x:v>
      </x:c>
    </x:row>
    <x:row r="56">
      <x:c r="A56" s="85" t="str">
        <x:v>Q-052</x:v>
      </x:c>
      <x:c r="B56" s="85" t="str">
        <x:v>audit</x:v>
      </x:c>
      <x:c r="C56" s="85" t="str">
        <x:v>flota</x:v>
      </x:c>
      <x:c r="D56" s="85" t="str">
        <x:v>Kolikšen je 12-mesečni obseg za proces »Fleet maintenance« in kateri imenovalec ga najbolje pojasni?</x:v>
      </x:c>
      <x:c r="E56" s="85" t="str">
        <x:v>numeric+unit</x:v>
      </x:c>
      <x:c r="F56" s="85" t="str">
        <x:v>PROC-23</x:v>
      </x:c>
      <x:c r="G56" s="85" t="str">
        <x:v>normalizacija</x:v>
      </x:c>
      <x:c r="H56" s="85" t="str">
        <x:v>pogojno</x:v>
      </x:c>
    </x:row>
    <x:row r="57">
      <x:c r="A57" s="83" t="str">
        <x:v>Q-053</x:v>
      </x:c>
      <x:c r="B57" s="83" t="str">
        <x:v>audit</x:v>
      </x:c>
      <x:c r="C57" s="83" t="str">
        <x:v>flota</x:v>
      </x:c>
      <x:c r="D57" s="83" t="str">
        <x:v>Koliko časa, napak, zamud ali neobračunanih zneskov nastane v procesu »Fleet maintenance« in iz katerega vira to veste?</x:v>
      </x:c>
      <x:c r="E57" s="83" t="str">
        <x:v>numeric+source</x:v>
      </x:c>
      <x:c r="F57" s="83" t="str">
        <x:v>PROC-23</x:v>
      </x:c>
      <x:c r="G57" s="83" t="str">
        <x:v>baseline + confidence</x:v>
      </x:c>
      <x:c r="H57" s="83" t="str">
        <x:v>pogojno</x:v>
      </x:c>
    </x:row>
    <x:row r="58">
      <x:c r="A58" s="85" t="str">
        <x:v>Q-054</x:v>
      </x:c>
      <x:c r="B58" s="85" t="str">
        <x:v>audit</x:v>
      </x:c>
      <x:c r="C58" s="85" t="str">
        <x:v>flota/finance</x:v>
      </x:c>
      <x:c r="D58" s="85" t="str">
        <x:v>Kolikšen je 12-mesečni obseg za proces »Fuel and toll control« in kateri imenovalec ga najbolje pojasni?</x:v>
      </x:c>
      <x:c r="E58" s="85" t="str">
        <x:v>numeric+unit</x:v>
      </x:c>
      <x:c r="F58" s="85" t="str">
        <x:v>PROC-24</x:v>
      </x:c>
      <x:c r="G58" s="85" t="str">
        <x:v>normalizacija</x:v>
      </x:c>
      <x:c r="H58" s="85" t="str">
        <x:v>pogojno</x:v>
      </x:c>
    </x:row>
    <x:row r="59">
      <x:c r="A59" s="83" t="str">
        <x:v>Q-055</x:v>
      </x:c>
      <x:c r="B59" s="83" t="str">
        <x:v>audit</x:v>
      </x:c>
      <x:c r="C59" s="83" t="str">
        <x:v>flota/finance</x:v>
      </x:c>
      <x:c r="D59" s="83" t="str">
        <x:v>Koliko časa, napak, zamud ali neobračunanih zneskov nastane v procesu »Fuel and toll control« in iz katerega vira to veste?</x:v>
      </x:c>
      <x:c r="E59" s="83" t="str">
        <x:v>numeric+source</x:v>
      </x:c>
      <x:c r="F59" s="83" t="str">
        <x:v>PROC-24</x:v>
      </x:c>
      <x:c r="G59" s="83" t="str">
        <x:v>baseline + confidence</x:v>
      </x:c>
      <x:c r="H59" s="83" t="str">
        <x:v>pogojno</x:v>
      </x:c>
    </x:row>
    <x:row r="60">
      <x:c r="A60" s="85" t="str">
        <x:v>Q-056</x:v>
      </x:c>
      <x:c r="B60" s="85" t="str">
        <x:v>audit</x:v>
      </x:c>
      <x:c r="C60" s="85" t="str">
        <x:v>HR/transport</x:v>
      </x:c>
      <x:c r="D60" s="85" t="str">
        <x:v>Kolikšen je 12-mesečni obseg za proces »Driver and workforce« in kateri imenovalec ga najbolje pojasni?</x:v>
      </x:c>
      <x:c r="E60" s="85" t="str">
        <x:v>numeric+unit</x:v>
      </x:c>
      <x:c r="F60" s="85" t="str">
        <x:v>PROC-25</x:v>
      </x:c>
      <x:c r="G60" s="85" t="str">
        <x:v>normalizacija</x:v>
      </x:c>
      <x:c r="H60" s="85" t="str">
        <x:v>pogojno</x:v>
      </x:c>
    </x:row>
    <x:row r="61">
      <x:c r="A61" s="83" t="str">
        <x:v>Q-057</x:v>
      </x:c>
      <x:c r="B61" s="83" t="str">
        <x:v>audit</x:v>
      </x:c>
      <x:c r="C61" s="83" t="str">
        <x:v>HR/transport</x:v>
      </x:c>
      <x:c r="D61" s="83" t="str">
        <x:v>Koliko časa, napak, zamud ali neobračunanih zneskov nastane v procesu »Driver and workforce« in iz katerega vira to veste?</x:v>
      </x:c>
      <x:c r="E61" s="83" t="str">
        <x:v>numeric+source</x:v>
      </x:c>
      <x:c r="F61" s="83" t="str">
        <x:v>PROC-25</x:v>
      </x:c>
      <x:c r="G61" s="83" t="str">
        <x:v>baseline + confidence</x:v>
      </x:c>
      <x:c r="H61" s="83" t="str">
        <x:v>pogojno</x:v>
      </x:c>
    </x:row>
    <x:row r="62">
      <x:c r="A62" s="85" t="str">
        <x:v>Q-058</x:v>
      </x:c>
      <x:c r="B62" s="85" t="str">
        <x:v>audit</x:v>
      </x:c>
      <x:c r="C62" s="85" t="str">
        <x:v>skladnost</x:v>
      </x:c>
      <x:c r="D62" s="85" t="str">
        <x:v>Kolikšen je 12-mesečni obseg za proces »Compliance and documents« in kateri imenovalec ga najbolje pojasni?</x:v>
      </x:c>
      <x:c r="E62" s="85" t="str">
        <x:v>numeric+unit</x:v>
      </x:c>
      <x:c r="F62" s="85" t="str">
        <x:v>PROC-26</x:v>
      </x:c>
      <x:c r="G62" s="85" t="str">
        <x:v>normalizacija</x:v>
      </x:c>
      <x:c r="H62" s="85" t="str">
        <x:v>pogojno</x:v>
      </x:c>
    </x:row>
    <x:row r="63">
      <x:c r="A63" s="83" t="str">
        <x:v>Q-059</x:v>
      </x:c>
      <x:c r="B63" s="83" t="str">
        <x:v>audit</x:v>
      </x:c>
      <x:c r="C63" s="83" t="str">
        <x:v>skladnost</x:v>
      </x:c>
      <x:c r="D63" s="83" t="str">
        <x:v>Koliko časa, napak, zamud ali neobračunanih zneskov nastane v procesu »Compliance and documents« in iz katerega vira to veste?</x:v>
      </x:c>
      <x:c r="E63" s="83" t="str">
        <x:v>numeric+source</x:v>
      </x:c>
      <x:c r="F63" s="83" t="str">
        <x:v>PROC-26</x:v>
      </x:c>
      <x:c r="G63" s="83" t="str">
        <x:v>baseline + confidence</x:v>
      </x:c>
      <x:c r="H63" s="83" t="str">
        <x:v>pogojno</x:v>
      </x:c>
    </x:row>
    <x:row r="64">
      <x:c r="A64" s="85" t="str">
        <x:v>Q-060</x:v>
      </x:c>
      <x:c r="B64" s="85" t="str">
        <x:v>audit</x:v>
      </x:c>
      <x:c r="C64" s="85" t="str">
        <x:v>vodstvo</x:v>
      </x:c>
      <x:c r="D64" s="85" t="str">
        <x:v>Kolikšen je 12-mesečni obseg za proces »Management reporting« in kateri imenovalec ga najbolje pojasni?</x:v>
      </x:c>
      <x:c r="E64" s="85" t="str">
        <x:v>numeric+unit</x:v>
      </x:c>
      <x:c r="F64" s="85" t="str">
        <x:v>PROC-27</x:v>
      </x:c>
      <x:c r="G64" s="85" t="str">
        <x:v>normalizacija</x:v>
      </x:c>
      <x:c r="H64" s="85" t="str">
        <x:v>pogojno</x:v>
      </x:c>
    </x:row>
    <x:row r="65">
      <x:c r="A65" s="83" t="str">
        <x:v>Q-061</x:v>
      </x:c>
      <x:c r="B65" s="83" t="str">
        <x:v>audit</x:v>
      </x:c>
      <x:c r="C65" s="83" t="str">
        <x:v>vodstvo</x:v>
      </x:c>
      <x:c r="D65" s="83" t="str">
        <x:v>Koliko časa, napak, zamud ali neobračunanih zneskov nastane v procesu »Management reporting« in iz katerega vira to veste?</x:v>
      </x:c>
      <x:c r="E65" s="83" t="str">
        <x:v>numeric+source</x:v>
      </x:c>
      <x:c r="F65" s="83" t="str">
        <x:v>PROC-27</x:v>
      </x:c>
      <x:c r="G65" s="83" t="str">
        <x:v>baseline + confidence</x:v>
      </x:c>
      <x:c r="H65" s="83" t="str">
        <x:v>pogojno</x:v>
      </x:c>
    </x:row>
    <x:row r="66">
      <x:c r="A66" s="85" t="str">
        <x:v>Q-062</x:v>
      </x:c>
      <x:c r="B66" s="85" t="str">
        <x:v>audit</x:v>
      </x:c>
      <x:c r="C66" s="85" t="str">
        <x:v>IT</x:v>
      </x:c>
      <x:c r="D66" s="85" t="str">
        <x:v>Kolikšen je 12-mesečni obseg za proces »Master data and integration« in kateri imenovalec ga najbolje pojasni?</x:v>
      </x:c>
      <x:c r="E66" s="85" t="str">
        <x:v>numeric+unit</x:v>
      </x:c>
      <x:c r="F66" s="85" t="str">
        <x:v>PROC-28</x:v>
      </x:c>
      <x:c r="G66" s="85" t="str">
        <x:v>normalizacija</x:v>
      </x:c>
      <x:c r="H66" s="85" t="str">
        <x:v>pogojno</x:v>
      </x:c>
    </x:row>
    <x:row r="67">
      <x:c r="A67" s="83" t="str">
        <x:v>Q-063</x:v>
      </x:c>
      <x:c r="B67" s="83" t="str">
        <x:v>audit</x:v>
      </x:c>
      <x:c r="C67" s="83" t="str">
        <x:v>IT</x:v>
      </x:c>
      <x:c r="D67" s="83" t="str">
        <x:v>Koliko časa, napak, zamud ali neobračunanih zneskov nastane v procesu »Master data and integration« in iz katerega vira to veste?</x:v>
      </x:c>
      <x:c r="E67" s="83" t="str">
        <x:v>numeric+source</x:v>
      </x:c>
      <x:c r="F67" s="83" t="str">
        <x:v>PROC-28</x:v>
      </x:c>
      <x:c r="G67" s="83" t="str">
        <x:v>baseline + confidence</x:v>
      </x:c>
      <x:c r="H67" s="83" t="str">
        <x:v>pogojno</x:v>
      </x:c>
    </x:row>
    <x:row r="68">
      <x:c r="A68" s="85" t="str">
        <x:v>Q-064</x:v>
      </x:c>
      <x:c r="B68" s="85" t="str">
        <x:v>solution</x:v>
      </x:c>
      <x:c r="C68" s="85" t="str">
        <x:v>ROI</x:v>
      </x:c>
      <x:c r="D68" s="85" t="str">
        <x:v>Kateri stroški uvedbe so potrjeni: licence, storitve, integracije, oprema, migracija, usposabljanje, interne ure?</x:v>
      </x:c>
      <x:c r="E68" s="85" t="str">
        <x:v>currency-group</x:v>
      </x:c>
      <x:c r="F68" s="85" t="str">
        <x:v>vsi</x:v>
      </x:c>
      <x:c r="G68" s="85" t="str">
        <x:v>TCO</x:v>
      </x:c>
      <x:c r="H68" s="85" t="str">
        <x:v>obvezno za ROI</x:v>
      </x:c>
    </x:row>
    <x:row r="69">
      <x:c r="A69" s="83" t="str">
        <x:v>Q-065</x:v>
      </x:c>
      <x:c r="B69" s="83" t="str">
        <x:v>solution</x:v>
      </x:c>
      <x:c r="C69" s="83" t="str">
        <x:v>ROI</x:v>
      </x:c>
      <x:c r="D69" s="83" t="str">
        <x:v>Kakšen je pričakovani ramp-up koristi v mesecih 1-36?</x:v>
      </x:c>
      <x:c r="E69" s="83" t="str">
        <x:v>percentage-series</x:v>
      </x:c>
      <x:c r="F69" s="83" t="str">
        <x:v>vsi</x:v>
      </x:c>
      <x:c r="G69" s="83" t="str">
        <x:v>cash flow</x:v>
      </x:c>
      <x:c r="H69" s="83" t="str">
        <x:v>obvezno za NPV</x:v>
      </x:c>
    </x:row>
    <x:row r="70">
      <x:c r="A70" s="86" t="str">
        <x:v>Q-066</x:v>
      </x:c>
      <x:c r="B70" s="86" t="str">
        <x:v>solution</x:v>
      </x:c>
      <x:c r="C70" s="86" t="str">
        <x:v>ROI</x:v>
      </x:c>
      <x:c r="D70" s="86" t="str">
        <x:v>Katera korist bo realizirana kot nižji cash cost, katera kot kapaciteta in katera kot enkratni kapital?</x:v>
      </x:c>
      <x:c r="E70" s="86" t="str">
        <x:v>classification</x:v>
      </x:c>
      <x:c r="F70" s="86" t="str">
        <x:v>vsi</x:v>
      </x:c>
      <x:c r="G70" s="86" t="str">
        <x:v>preprečevanje dvojnega štetja</x:v>
      </x:c>
      <x:c r="H70" s="86" t="str">
        <x:v>obvezno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56d154cba574087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52" hidden="0" customWidth="1"/>
    <x:col min="4" max="4" width="54" hidden="0" customWidth="1"/>
  </x:cols>
  <x:sheetData>
    <x:row r="1" ht="34" customHeight="1">
      <x:c r="A1" s="4" t="str">
        <x:v>Pravila razvejanja</x:v>
      </x:c>
      <x:c r="B1" s="4"/>
      <x:c r="C1" s="4"/>
      <x:c r="D1" s="4"/>
    </x:row>
    <x:row r="2" ht="31" customHeight="1">
      <x:c r="A2" s="8" t="str">
        <x:v>Prikažite samo relevantne veje in blokirajte finančno nevarne interpretacije.</x:v>
      </x:c>
      <x:c r="B2" s="8"/>
      <x:c r="C2" s="8"/>
      <x:c r="D2" s="8"/>
    </x:row>
    <x:row r="4" ht="15" hidden="0" customHeight="1">
      <x:c r="A4" s="74" t="str">
        <x:v>ID</x:v>
      </x:c>
      <x:c r="B4" s="74" t="str">
        <x:v>Pogoj</x:v>
      </x:c>
      <x:c r="C4" s="74" t="str">
        <x:v>Akcija</x:v>
      </x:c>
      <x:c r="D4" s="74" t="str">
        <x:v>Kontrola</x:v>
      </x:c>
    </x:row>
    <x:row r="5" ht="15" hidden="0" customHeight="1">
      <x:c r="A5" s="82" t="str">
        <x:v>BR-01</x:v>
      </x:c>
      <x:c r="B5" s="82" t="str">
        <x:v>Q-001 vsebuje SEG-01 ali SEG-02</x:v>
      </x:c>
      <x:c r="C5" s="82" t="str">
        <x:v>prikaži transport/flota/tahograf veje</x:v>
      </x:c>
      <x:c r="D5" s="82" t="str">
        <x:v>ne prikazuj praznih km špediterju brez flote</x:v>
      </x:c>
    </x:row>
    <x:row r="6" ht="15" hidden="0" customHeight="1">
      <x:c r="A6" s="85" t="str">
        <x:v>BR-02</x:v>
      </x:c>
      <x:c r="B6" s="85" t="str">
        <x:v>Q-001 vsebuje SEG-03</x:v>
      </x:c>
      <x:c r="C6" s="85" t="str">
        <x:v>prikaži carrier procurement, maržo in freight audit</x:v>
      </x:c>
      <x:c r="D6" s="85" t="str">
        <x:v>naročena cena in prodajna cena sta obvezni</x:v>
      </x:c>
    </x:row>
    <x:row r="7" ht="15" hidden="0" customHeight="1">
      <x:c r="A7" s="83" t="str">
        <x:v>BR-03</x:v>
      </x:c>
      <x:c r="B7" s="83" t="str">
        <x:v>Q-001 vsebuje SEG-04 ali SEG-05</x:v>
      </x:c>
      <x:c r="C7" s="83" t="str">
        <x:v>prikaži 13-22</x:v>
      </x:c>
      <x:c r="D7" s="83" t="str">
        <x:v>ločiti tujo in lastno zalogo</x:v>
      </x:c>
    </x:row>
    <x:row r="8" ht="15" hidden="0" customHeight="1">
      <x:c r="A8" s="85" t="str">
        <x:v>BR-04</x:v>
      </x:c>
      <x:c r="B8" s="85" t="str">
        <x:v>Q-001 vsebuje SEG-06</x:v>
      </x:c>
      <x:c r="C8" s="85" t="str">
        <x:v>prikaži zalogo, OTIF, cash-to-cash</x:v>
      </x:c>
      <x:c r="D8" s="85" t="str">
        <x:v>sprostitev zaloge le za lastno zalogo</x:v>
      </x:c>
    </x:row>
    <x:row r="9" ht="15" hidden="0" customHeight="1">
      <x:c r="A9" s="83" t="str">
        <x:v>BR-05</x:v>
      </x:c>
      <x:c r="B9" s="83" t="str">
        <x:v>Q-001 vsebuje SEG-07</x:v>
      </x:c>
      <x:c r="C9" s="83" t="str">
        <x:v>prikaži postanke, first-attempt, COD, vračila</x:v>
      </x:c>
      <x:c r="D9" s="83" t="str">
        <x:v>gostota in urbano/ruralno obvezna</x:v>
      </x:c>
    </x:row>
    <x:row r="10" ht="15" hidden="0" customHeight="1">
      <x:c r="A10" s="85" t="str">
        <x:v>BR-06</x:v>
      </x:c>
      <x:c r="B10" s="85" t="str">
        <x:v>Q-001 vsebuje SEG-08/09/10</x:v>
      </x:c>
      <x:c r="C10" s="85" t="str">
        <x:v>prikaži terminal, demurrage/detention, carino/ICS2</x:v>
      </x:c>
      <x:c r="D10" s="85" t="str">
        <x:v>multimodalni dodatki</x:v>
      </x:c>
    </x:row>
    <x:row r="11" ht="15" hidden="0" customHeight="1">
      <x:c r="A11" s="83" t="str">
        <x:v>BR-07</x:v>
      </x:c>
      <x:c r="B11" s="83" t="str">
        <x:v>Q-001 vsebuje SEG-11</x:v>
      </x:c>
      <x:c r="C11" s="83" t="str">
        <x:v>prikaži temperature, odstopanja, GDP/food traceability</x:v>
      </x:c>
      <x:c r="D11" s="83" t="str">
        <x:v>zahtevaj lastništvo senzorjev in kalibracijo</x:v>
      </x:c>
    </x:row>
    <x:row r="12" ht="15" hidden="0" customHeight="1">
      <x:c r="A12" s="85" t="str">
        <x:v>BR-08</x:v>
      </x:c>
      <x:c r="B12" s="85" t="str">
        <x:v>Q-001 vsebuje SEG-12</x:v>
      </x:c>
      <x:c r="C12" s="85" t="str">
        <x:v>prikaži ADR/dovoljenja/spremstvo</x:v>
      </x:c>
      <x:c r="D12" s="85" t="str">
        <x:v>dokazila in kompetence</x:v>
      </x:c>
    </x:row>
    <x:row r="13" ht="15" hidden="0" customHeight="1">
      <x:c r="A13" s="83" t="str">
        <x:v>BR-09</x:v>
      </x:c>
      <x:c r="B13" s="83" t="str">
        <x:v>Q-003 ne vsebuje ERP</x:v>
      </x:c>
      <x:c r="C13" s="83" t="str">
        <x:v>najprej jedro ERP/finance/master data</x:v>
      </x:c>
      <x:c r="D13" s="83" t="str">
        <x:v>ne predlagaj kompleksne analitike brez transakcijskega jedra</x:v>
      </x:c>
    </x:row>
    <x:row r="14" ht="15" hidden="0" customHeight="1">
      <x:c r="A14" s="85" t="str">
        <x:v>BR-10</x:v>
      </x:c>
      <x:c r="B14" s="85" t="str">
        <x:v>Q-003 vsebuje PANTHEON</x:v>
      </x:c>
      <x:c r="C14" s="85" t="str">
        <x:v>oceni direktno/partner/integracija/specialist</x:v>
      </x:c>
      <x:c r="D14" s="85" t="str">
        <x:v>ne pripisuj nativnega TMS/WMS brez potrditve</x:v>
      </x:c>
    </x:row>
    <x:row r="15" ht="15" hidden="0" customHeight="1">
      <x:c r="A15" s="83" t="str">
        <x:v>BR-11</x:v>
      </x:c>
      <x:c r="B15" s="83" t="str">
        <x:v>Q-005 = brez podatkov</x:v>
      </x:c>
      <x:c r="C15" s="83" t="str">
        <x:v>rezultat označi P90 negotovost; predlagaj 4-tedenski baseline</x:v>
      </x:c>
      <x:c r="D15" s="83" t="str">
        <x:v>ne prikazuj ozkega razpona</x:v>
      </x:c>
    </x:row>
    <x:row r="16" ht="15" hidden="0" customHeight="1">
      <x:c r="A16" s="85" t="str">
        <x:v>BR-12</x:v>
      </x:c>
      <x:c r="B16" s="85" t="str">
        <x:v>korist = ure</x:v>
      </x:c>
      <x:c r="C16" s="85" t="str">
        <x:v>vprašaj način realizacije</x:v>
      </x:c>
      <x:c r="D16" s="85" t="str">
        <x:v>0 % cash realization brez zmanjšanja nadur/FTE/outsourcinga</x:v>
      </x:c>
    </x:row>
    <x:row r="17" ht="15" hidden="0" customHeight="1">
      <x:c r="A17" s="83" t="str">
        <x:v>BR-13</x:v>
      </x:c>
      <x:c r="B17" s="83" t="str">
        <x:v>korist = obratni kapital</x:v>
      </x:c>
      <x:c r="C17" s="83" t="str">
        <x:v>ločeno poročaj cash release in letni cost-of-capital</x:v>
      </x:c>
      <x:c r="D17" s="83" t="str">
        <x:v>ne prištevaj obeh kot letni benefit</x:v>
      </x:c>
    </x:row>
    <x:row r="18" ht="15" hidden="0" customHeight="1">
      <x:c r="A18" s="85" t="str">
        <x:v>BR-14</x:v>
      </x:c>
      <x:c r="B18" s="85" t="str">
        <x:v>vsaj dve koristi delita isti vzrok/podatke</x:v>
      </x:c>
      <x:c r="C18" s="85" t="str">
        <x:v>sproži DC kontrolni pregled</x:v>
      </x:c>
      <x:c r="D18" s="85" t="str">
        <x:v>lastnik koristi potrdi primarni benefit</x:v>
      </x:c>
    </x:row>
    <x:row r="19" ht="15" hidden="0" customHeight="1">
      <x:c r="A19" s="84" t="str">
        <x:v>BR-15</x:v>
      </x:c>
      <x:c r="B19" s="84" t="str">
        <x:v>payback &lt; 3 mesece ali benefit &gt; baseline izgube</x:v>
      </x:c>
      <x:c r="C19" s="84" t="str">
        <x:v>blokiraj objavo in zahtevaj revizijo</x:v>
      </x:c>
      <x:c r="D19" s="84" t="str">
        <x:v>outlier check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be2e89fa1d2434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2" hidden="0" customWidth="1"/>
    <x:col min="3" max="3" width="12" hidden="0" customWidth="1"/>
    <x:col min="4" max="4" width="40" hidden="0" customWidth="1"/>
    <x:col min="5" max="5" width="28" hidden="0" customWidth="1"/>
  </x:cols>
  <x:sheetData>
    <x:row r="1" ht="34" customHeight="1">
      <x:c r="A1" s="4" t="str">
        <x:v>ICP in lead scoring</x:v>
      </x:c>
      <x:c r="B1" s="4"/>
      <x:c r="C1" s="4"/>
      <x:c r="D1" s="4"/>
      <x:c r="E1" s="4"/>
    </x:row>
    <x:row r="2" ht="31" customHeight="1">
      <x:c r="A2" s="8" t="str">
        <x:v>Uteži seštejejo v 100; brez ekonomskega kupca ali podatkovne poti kompleksni ROI ni smiseln.</x:v>
      </x:c>
      <x:c r="B2" s="8"/>
      <x:c r="C2" s="8"/>
      <x:c r="D2" s="8"/>
      <x:c r="E2" s="8"/>
    </x:row>
    <x:row r="4" ht="15" hidden="0" customHeight="1">
      <x:c r="A4" s="74" t="str">
        <x:v>ID</x:v>
      </x:c>
      <x:c r="B4" s="74" t="str">
        <x:v>Kriterij</x:v>
      </x:c>
      <x:c r="C4" s="74" t="str">
        <x:v>Teža</x:v>
      </x:c>
      <x:c r="D4" s="74" t="str">
        <x:v>Ocenjevanje</x:v>
      </x:c>
      <x:c r="E4" s="74" t="str">
        <x:v>Vir</x:v>
      </x:c>
    </x:row>
    <x:row r="5" ht="15" hidden="0" customHeight="1">
      <x:c r="A5" s="82" t="str">
        <x:v>ICP-01</x:v>
      </x:c>
      <x:c r="B5" s="82" t="str">
        <x:v>20-500 zaposlenih oziroma operativna kompleksnost</x:v>
      </x:c>
      <x:c r="C5" s="82" t="n">
        <x:v>10</x:v>
      </x:c>
      <x:c r="D5" s="82" t="str">
        <x:v>0=izven; 5=delno; 10=cilj</x:v>
      </x:c>
      <x:c r="E5" s="82" t="str">
        <x:v>firmografija</x:v>
      </x:c>
    </x:row>
    <x:row r="6" ht="15" hidden="0" customHeight="1">
      <x:c r="A6" s="85" t="str">
        <x:v>ICP-02</x:v>
      </x:c>
      <x:c r="B6" s="85" t="str">
        <x:v>Več poslovnih enot/skladišč/držav</x:v>
      </x:c>
      <x:c r="C6" s="85" t="n">
        <x:v>8</x:v>
      </x:c>
      <x:c r="D6" s="85" t="str">
        <x:v>0=enostavno; 8=več enot</x:v>
      </x:c>
      <x:c r="E6" s="85" t="str">
        <x:v>firmografija/intervju</x:v>
      </x:c>
    </x:row>
    <x:row r="7" ht="15" hidden="0" customHeight="1">
      <x:c r="A7" s="83" t="str">
        <x:v>ICP-03</x:v>
      </x:c>
      <x:c r="B7" s="83" t="str">
        <x:v>Transakcijski volumen</x:v>
      </x:c>
      <x:c r="C7" s="83" t="n">
        <x:v>10</x:v>
      </x:c>
      <x:c r="D7" s="83" t="str">
        <x:v>0=nizek; 10=visok glede na segment</x:v>
      </x:c>
      <x:c r="E7" s="83" t="str">
        <x:v>operativni podatki</x:v>
      </x:c>
    </x:row>
    <x:row r="8" ht="15" hidden="0" customHeight="1">
      <x:c r="A8" s="85" t="str">
        <x:v>ICP-04</x:v>
      </x:c>
      <x:c r="B8" s="85" t="str">
        <x:v>Ročni dotiki in Excel odvisnost</x:v>
      </x:c>
      <x:c r="C8" s="85" t="n">
        <x:v>10</x:v>
      </x:c>
      <x:c r="D8" s="85" t="str">
        <x:v>0=digitalno; 10=visoko ročno</x:v>
      </x:c>
      <x:c r="E8" s="85" t="str">
        <x:v>diagnostika</x:v>
      </x:c>
    </x:row>
    <x:row r="9" ht="15" hidden="0" customHeight="1">
      <x:c r="A9" s="83" t="str">
        <x:v>ICP-05</x:v>
      </x:c>
      <x:c r="B9" s="83" t="str">
        <x:v>Finančno merljiva bolečina</x:v>
      </x:c>
      <x:c r="C9" s="83" t="n">
        <x:v>12</x:v>
      </x:c>
      <x:c r="D9" s="83" t="str">
        <x:v>0=hipoteza; 12=podprta z 12-mesečnimi podatki</x:v>
      </x:c>
      <x:c r="E9" s="83" t="str">
        <x:v>diagnostika/audit</x:v>
      </x:c>
    </x:row>
    <x:row r="10" ht="15" hidden="0" customHeight="1">
      <x:c r="A10" s="85" t="str">
        <x:v>ICP-06</x:v>
      </x:c>
      <x:c r="B10" s="85" t="str">
        <x:v>PANTHEON nameščen ali jasen ERP gap</x:v>
      </x:c>
      <x:c r="C10" s="85" t="n">
        <x:v>8</x:v>
      </x:c>
      <x:c r="D10" s="85" t="str">
        <x:v>0=brez relevantnosti; 8=visoka relevantnost</x:v>
      </x:c>
      <x:c r="E10" s="85" t="str">
        <x:v>technographics</x:v>
      </x:c>
    </x:row>
    <x:row r="11" ht="15" hidden="0" customHeight="1">
      <x:c r="A11" s="83" t="str">
        <x:v>ICP-07</x:v>
      </x:c>
      <x:c r="B11" s="83" t="str">
        <x:v>Integracijska pripravljenost</x:v>
      </x:c>
      <x:c r="C11" s="83" t="n">
        <x:v>7</x:v>
      </x:c>
      <x:c r="D11" s="83" t="str">
        <x:v>0=blokirano; 7=API/lastnik/podatki</x:v>
      </x:c>
      <x:c r="E11" s="83" t="str">
        <x:v>IT discovery</x:v>
      </x:c>
    </x:row>
    <x:row r="12" ht="15" hidden="0" customHeight="1">
      <x:c r="A12" s="85" t="str">
        <x:v>ICP-08</x:v>
      </x:c>
      <x:c r="B12" s="85" t="str">
        <x:v>Dogodek/rok (eFTI, e-računi, rast, menjava sistema)</x:v>
      </x:c>
      <x:c r="C12" s="85" t="n">
        <x:v>8</x:v>
      </x:c>
      <x:c r="D12" s="85" t="str">
        <x:v>0=ni; 8=&lt;12 mesecev</x:v>
      </x:c>
      <x:c r="E12" s="85" t="str">
        <x:v>signal</x:v>
      </x:c>
    </x:row>
    <x:row r="13" ht="15" hidden="0" customHeight="1">
      <x:c r="A13" s="83" t="str">
        <x:v>ICP-09</x:v>
      </x:c>
      <x:c r="B13" s="83" t="str">
        <x:v>Ekonomski kupec in procesni lastnik sodelujeta</x:v>
      </x:c>
      <x:c r="C13" s="83" t="n">
        <x:v>10</x:v>
      </x:c>
      <x:c r="D13" s="83" t="str">
        <x:v>0=ne; 10=da</x:v>
      </x:c>
      <x:c r="E13" s="83" t="str">
        <x:v>prodajni proces</x:v>
      </x:c>
    </x:row>
    <x:row r="14" ht="15" hidden="0" customHeight="1">
      <x:c r="A14" s="85" t="str">
        <x:v>ICP-10</x:v>
      </x:c>
      <x:c r="B14" s="85" t="str">
        <x:v>Kapaciteta za uvedbo in spremembo</x:v>
      </x:c>
      <x:c r="C14" s="85" t="n">
        <x:v>7</x:v>
      </x:c>
      <x:c r="D14" s="85" t="str">
        <x:v>0=ni; 7=ekipa + sponzor</x:v>
      </x:c>
      <x:c r="E14" s="85" t="str">
        <x:v>discovery</x:v>
      </x:c>
    </x:row>
    <x:row r="15" ht="15" hidden="0" customHeight="1">
      <x:c r="A15" s="84" t="str">
        <x:v>ICP-11</x:v>
      </x:c>
      <x:c r="B15" s="84" t="str">
        <x:v>Dokazljivost in dostop do podatkov</x:v>
      </x:c>
      <x:c r="C15" s="84" t="n">
        <x:v>10</x:v>
      </x:c>
      <x:c r="D15" s="84" t="str">
        <x:v>0=brez; 10=izvoz/vir/definicije</x:v>
      </x:c>
      <x:c r="E15" s="84" t="str">
        <x:v>data audit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dfdb025f6e5497a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62" hidden="0" customWidth="1"/>
    <x:col min="4" max="4" width="32" hidden="0" customWidth="1"/>
    <x:col min="5" max="5" width="26" hidden="0" customWidth="1"/>
  </x:cols>
  <x:sheetData>
    <x:row r="1" ht="34" customHeight="1">
      <x:c r="A1" s="4" t="str">
        <x:v>VOC knjižnica - hipoteze</x:v>
      </x:c>
      <x:c r="B1" s="4"/>
      <x:c r="C1" s="4"/>
      <x:c r="D1" s="4"/>
      <x:c r="E1" s="4"/>
    </x:row>
    <x:row r="2" ht="31" customHeight="1">
      <x:c r="A2" s="8" t="str">
        <x:v>To niso dejanski citati; validirati v intervjujih in uporabljati le z dovoljenjem.</x:v>
      </x:c>
      <x:c r="B2" s="8"/>
      <x:c r="C2" s="8"/>
      <x:c r="D2" s="8"/>
      <x:c r="E2" s="8"/>
    </x:row>
    <x:row r="4" ht="15" hidden="0" customHeight="1">
      <x:c r="A4" s="74" t="str">
        <x:v>ID</x:v>
      </x:c>
      <x:c r="B4" s="74" t="str">
        <x:v>Persona</x:v>
      </x:c>
      <x:c r="C4" s="74" t="str">
        <x:v>Hipotetična izjava</x:v>
      </x:c>
      <x:c r="D4" s="74" t="str">
        <x:v>Tema</x:v>
      </x:c>
      <x:c r="E4" s="74" t="str">
        <x:v>Status</x:v>
      </x:c>
    </x:row>
    <x:row r="5" ht="15" hidden="0" customHeight="1">
      <x:c r="A5" s="82" t="str">
        <x:v>VOC-001</x:v>
      </x:c>
      <x:c r="B5" s="82" t="str">
        <x:v>direktor</x:v>
      </x:c>
      <x:c r="C5" s="82" t="str">
        <x:v>Ne vem, kje dejansko zaslužimo in kje samo vozimo.</x:v>
      </x:c>
      <x:c r="D5" s="82" t="str">
        <x:v>marža po poslu/stranki</x:v>
      </x:c>
      <x:c r="E5" s="82" t="str">
        <x:v>hipoteza - preveriti v intervjujih</x:v>
      </x:c>
    </x:row>
    <x:row r="6" ht="15" hidden="0" customHeight="1">
      <x:c r="A6" s="85" t="str">
        <x:v>VOC-002</x:v>
      </x:c>
      <x:c r="B6" s="85" t="str">
        <x:v>disponent</x:v>
      </x:c>
      <x:c r="C6" s="85" t="str">
        <x:v>Če mene ni, nihče nima celotne slike.</x:v>
      </x:c>
      <x:c r="D6" s="85" t="str">
        <x:v>odvisnost od ključne osebe</x:v>
      </x:c>
      <x:c r="E6" s="85" t="str">
        <x:v>hipoteza - preveriti</x:v>
      </x:c>
    </x:row>
    <x:row r="7" ht="15" hidden="0" customHeight="1">
      <x:c r="A7" s="83" t="str">
        <x:v>VOC-003</x:v>
      </x:c>
      <x:c r="B7" s="83" t="str">
        <x:v>finance</x:v>
      </x:c>
      <x:c r="C7" s="83" t="str">
        <x:v>Račun čaka, ker še ni CMR-ja.</x:v>
      </x:c>
      <x:c r="D7" s="83" t="str">
        <x:v>POD-to-invoice</x:v>
      </x:c>
      <x:c r="E7" s="83" t="str">
        <x:v>hipoteza - preveriti</x:v>
      </x:c>
    </x:row>
    <x:row r="8" ht="15" hidden="0" customHeight="1">
      <x:c r="A8" s="85" t="str">
        <x:v>VOC-004</x:v>
      </x:c>
      <x:c r="B8" s="85" t="str">
        <x:v>vodja skladišča</x:v>
      </x:c>
      <x:c r="C8" s="85" t="str">
        <x:v>Zaloga v sistemu in na lokaciji nista vedno ista zgodba.</x:v>
      </x:c>
      <x:c r="D8" s="85" t="str">
        <x:v>točnost zaloge</x:v>
      </x:c>
      <x:c r="E8" s="85" t="str">
        <x:v>hipoteza - preveriti</x:v>
      </x:c>
    </x:row>
    <x:row r="9" ht="15" hidden="0" customHeight="1">
      <x:c r="A9" s="83" t="str">
        <x:v>VOC-005</x:v>
      </x:c>
      <x:c r="B9" s="83" t="str">
        <x:v>customer service</x:v>
      </x:c>
      <x:c r="C9" s="83" t="str">
        <x:v>Status iščemo pri vozniku in nato kličemo stranko nazaj.</x:v>
      </x:c>
      <x:c r="D9" s="83" t="str">
        <x:v>vidljivost dogodkov</x:v>
      </x:c>
      <x:c r="E9" s="83" t="str">
        <x:v>hipoteza - preveriti</x:v>
      </x:c>
    </x:row>
    <x:row r="10" ht="15" hidden="0" customHeight="1">
      <x:c r="A10" s="85" t="str">
        <x:v>VOC-006</x:v>
      </x:c>
      <x:c r="B10" s="85" t="str">
        <x:v>špediter</x:v>
      </x:c>
      <x:c r="C10" s="85" t="str">
        <x:v>Maržo izgubimo v dodatkih, ki jih ne prenesemo naprej.</x:v>
      </x:c>
      <x:c r="D10" s="85" t="str">
        <x:v>billing leakage</x:v>
      </x:c>
      <x:c r="E10" s="85" t="str">
        <x:v>hipoteza - preveriti</x:v>
      </x:c>
    </x:row>
    <x:row r="11" ht="15" hidden="0" customHeight="1">
      <x:c r="A11" s="83" t="str">
        <x:v>VOC-007</x:v>
      </x:c>
      <x:c r="B11" s="83" t="str">
        <x:v>IT</x:v>
      </x:c>
      <x:c r="C11" s="83" t="str">
        <x:v>Vsaka nova povezava je nov projekt in nova točka okvare.</x:v>
      </x:c>
      <x:c r="D11" s="83" t="str">
        <x:v>integracijski dolg</x:v>
      </x:c>
      <x:c r="E11" s="83" t="str">
        <x:v>hipoteza - preveriti</x:v>
      </x:c>
    </x:row>
    <x:row r="12" ht="15" hidden="0" customHeight="1">
      <x:c r="A12" s="85" t="str">
        <x:v>VOC-008</x:v>
      </x:c>
      <x:c r="B12" s="85" t="str">
        <x:v>voznik</x:v>
      </x:c>
      <x:c r="C12" s="85" t="str">
        <x:v>Iste podatke vpisujem v papir, telefon in aplikacijo.</x:v>
      </x:c>
      <x:c r="D12" s="85" t="str">
        <x:v>podvojeni zajem</x:v>
      </x:c>
      <x:c r="E12" s="85" t="str">
        <x:v>hipoteza - preveriti</x:v>
      </x:c>
    </x:row>
    <x:row r="13" ht="15" hidden="0" customHeight="1">
      <x:c r="A13" s="83" t="str">
        <x:v>VOC-009</x:v>
      </x:c>
      <x:c r="B13" s="83" t="str">
        <x:v>3PL finance</x:v>
      </x:c>
      <x:c r="C13" s="83" t="str">
        <x:v>Vemo, kaj smo naredili, ne pa vedno, ali smo vse zaračunali.</x:v>
      </x:c>
      <x:c r="D13" s="83" t="str">
        <x:v>3PL capture rate</x:v>
      </x:c>
      <x:c r="E13" s="83" t="str">
        <x:v>hipoteza - preveriti</x:v>
      </x:c>
    </x:row>
    <x:row r="14" ht="15" hidden="0" customHeight="1">
      <x:c r="A14" s="85" t="str">
        <x:v>VOC-010</x:v>
      </x:c>
      <x:c r="B14" s="85" t="str">
        <x:v>kakovost</x:v>
      </x:c>
      <x:c r="C14" s="85" t="str">
        <x:v>Dokazila so, samo hitro jih ne najdemo.</x:v>
      </x:c>
      <x:c r="D14" s="85" t="str">
        <x:v>audit trail</x:v>
      </x:c>
      <x:c r="E14" s="85" t="str">
        <x:v>hipoteza - preveriti</x:v>
      </x:c>
    </x:row>
    <x:row r="15" ht="15" hidden="0" customHeight="1">
      <x:c r="A15" s="83" t="str">
        <x:v>VOC-011</x:v>
      </x:c>
      <x:c r="B15" s="83" t="str">
        <x:v>last mile</x:v>
      </x:c>
      <x:c r="C15" s="83" t="str">
        <x:v>Druga dostava nam poje ekonomiko prve.</x:v>
      </x:c>
      <x:c r="D15" s="83" t="str">
        <x:v>first-attempt delivery</x:v>
      </x:c>
      <x:c r="E15" s="83" t="str">
        <x:v>hipoteza - preveriti</x:v>
      </x:c>
    </x:row>
    <x:row r="16" ht="15" hidden="0" customHeight="1">
      <x:c r="A16" s="86" t="str">
        <x:v>VOC-012</x:v>
      </x:c>
      <x:c r="B16" s="86" t="str">
        <x:v>direktor</x:v>
      </x:c>
      <x:c r="C16" s="86" t="str">
        <x:v>Nočem še enega sistema brez jasnega učinka.</x:v>
      </x:c>
      <x:c r="D16" s="86" t="str">
        <x:v>ROI in arhitektura</x:v>
      </x:c>
      <x:c r="E16" s="86" t="str">
        <x:v>hipoteza - preveriti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6f95388fb8e4de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26" hidden="0" customWidth="1"/>
    <x:col min="5" max="5" width="60" hidden="0" customWidth="1"/>
    <x:col min="6" max="6" width="52" hidden="0" customWidth="1"/>
    <x:col min="7" max="7" width="24" hidden="0" customWidth="1"/>
  </x:cols>
  <x:sheetData>
    <x:row r="1" ht="34" customHeight="1">
      <x:c r="A1" s="4" t="str">
        <x:v>Regulativni register</x:v>
      </x:c>
      <x:c r="B1" s="4"/>
      <x:c r="C1" s="4"/>
      <x:c r="D1" s="4"/>
      <x:c r="E1" s="4"/>
      <x:c r="F1" s="4"/>
      <x:c r="G1" s="4"/>
    </x:row>
    <x:row r="2" ht="31" customHeight="1">
      <x:c r="A2" s="8" t="str">
        <x:v>Roke vedno preverite na aktualnem uradnem viru; eFTI ni eCMR, NIS2 ne zajame avtomatično vseh MSP.</x:v>
      </x:c>
      <x:c r="B2" s="8"/>
      <x:c r="C2" s="8"/>
      <x:c r="D2" s="8"/>
      <x:c r="E2" s="8"/>
      <x:c r="F2" s="8"/>
      <x:c r="G2" s="8"/>
    </x:row>
    <x:row r="4" ht="15" hidden="0" customHeight="1">
      <x:c r="A4" s="74" t="str">
        <x:v>ID</x:v>
      </x:c>
      <x:c r="B4" s="74" t="str">
        <x:v>Obveznost</x:v>
      </x:c>
      <x:c r="C4" s="74" t="str">
        <x:v>Območje</x:v>
      </x:c>
      <x:c r="D4" s="74" t="str">
        <x:v>Rok/stanje</x:v>
      </x:c>
      <x:c r="E4" s="74" t="str">
        <x:v>Kaj pomeni</x:v>
      </x:c>
      <x:c r="F4" s="74" t="str">
        <x:v>Podatkovni vpliv</x:v>
      </x:c>
      <x:c r="G4" s="74" t="str">
        <x:v>Vir</x:v>
      </x:c>
    </x:row>
    <x:row r="5" ht="21.600000381469727" hidden="0" customHeight="1">
      <x:c r="A5" s="82" t="str">
        <x:v>REG-01</x:v>
      </x:c>
      <x:c r="B5" s="82" t="str">
        <x:v>eFTI</x:v>
      </x:c>
      <x:c r="C5" s="82" t="str">
        <x:v>EU</x:v>
      </x:c>
      <x:c r="D5" s="82" t="str">
        <x:v>9. 7. 2027 polna uporaba</x:v>
      </x:c>
      <x:c r="E5" s="82" t="str">
        <x:v>Organi morajo sprejeti podatke prek certificiranih platform; operator digitalni kanal uporablja prostovoljno</x:v>
      </x:c>
      <x:c r="F5" s="82" t="str">
        <x:v>strukturirani regulativni podatki; platforma; audit</x:v>
      </x:c>
      <x:c r="G5" s="82" t="str">
        <x:v>SRC-014; SRC-015</x:v>
      </x:c>
    </x:row>
    <x:row r="6" ht="15" hidden="0" customHeight="1">
      <x:c r="A6" s="85" t="str">
        <x:v>REG-02</x:v>
      </x:c>
      <x:c r="B6" s="85" t="str">
        <x:v>eCMR protokol</x:v>
      </x:c>
      <x:c r="C6" s="85" t="str">
        <x:v>UNECE/pogodbenice</x:v>
      </x:c>
      <x:c r="D6" s="85" t="str">
        <x:v>veljavno; Slovenija sodeluje</x:v>
      </x:c>
      <x:c r="E6" s="85" t="str">
        <x:v>Elektronski CMR; ni isto kot eFTI</x:v>
      </x:c>
      <x:c r="F6" s="85" t="str">
        <x:v>eCMR ponudnik, identiteta, celovitost, izmenjava</x:v>
      </x:c>
      <x:c r="G6" s="85" t="str">
        <x:v>SRC-018</x:v>
      </x:c>
    </x:row>
    <x:row r="7" ht="21.600000381469727" hidden="0" customHeight="1">
      <x:c r="A7" s="83" t="str">
        <x:v>REG-03</x:v>
      </x:c>
      <x:c r="B7" s="83" t="str">
        <x:v>Pametni tahograf v2</x:v>
      </x:c>
      <x:c r="C7" s="83" t="str">
        <x:v>EU</x:v>
      </x:c>
      <x:c r="D7" s="83" t="str">
        <x:v>19. 8. 2025 mednarodne operacije; LCV od 1. 7. 2026</x:v>
      </x:c>
      <x:c r="E7" s="83" t="str">
        <x:v>Evidenca in oprema glede na vozilo/operacijo</x:v>
      </x:c>
      <x:c r="F7" s="83" t="str">
        <x:v>tahograf; vozilo; voznik; hramba</x:v>
      </x:c>
      <x:c r="G7" s="83" t="str">
        <x:v>SRC-016</x:v>
      </x:c>
    </x:row>
    <x:row r="8" ht="15" hidden="0" customHeight="1">
      <x:c r="A8" s="85" t="str">
        <x:v>REG-04</x:v>
      </x:c>
      <x:c r="B8" s="85" t="str">
        <x:v>Časi vožnje in počitka</x:v>
      </x:c>
      <x:c r="C8" s="85" t="str">
        <x:v>EU</x:v>
      </x:c>
      <x:c r="D8" s="85" t="str">
        <x:v>stalno</x:v>
      </x:c>
      <x:c r="E8" s="85" t="str">
        <x:v>9 h/dan, 10 h dvakrat tedensko; 56 h/teden; 90 h/2 tedna; odmor 45 min po 4,5 h</x:v>
      </x:c>
      <x:c r="F8" s="85" t="str">
        <x:v>plan mora poznati pravila in dejanske podatke</x:v>
      </x:c>
      <x:c r="G8" s="85" t="str">
        <x:v>SRC-017</x:v>
      </x:c>
    </x:row>
    <x:row r="9" ht="15" hidden="0" customHeight="1">
      <x:c r="A9" s="83" t="str">
        <x:v>REG-05</x:v>
      </x:c>
      <x:c r="B9" s="83" t="str">
        <x:v>ICS2 Release 3</x:v>
      </x:c>
      <x:c r="C9" s="83" t="str">
        <x:v>EU carina</x:v>
      </x:c>
      <x:c r="D9" s="83" t="str">
        <x:v>1. 9. 2025</x:v>
      </x:c>
      <x:c r="E9" s="83" t="str">
        <x:v>Varnostni podatki za vse načine, vključno cesta/železnica</x:v>
      </x:c>
      <x:c r="F9" s="83" t="str">
        <x:v>carinski podatki, ENS, statusi in izjeme</x:v>
      </x:c>
      <x:c r="G9" s="83" t="str">
        <x:v>SRC-019</x:v>
      </x:c>
    </x:row>
    <x:row r="10" ht="15" hidden="0" customHeight="1">
      <x:c r="A10" s="85" t="str">
        <x:v>REG-06</x:v>
      </x:c>
      <x:c r="B10" s="85" t="str">
        <x:v>ADR 2025</x:v>
      </x:c>
      <x:c r="C10" s="85" t="str">
        <x:v>UNECE/EU</x:v>
      </x:c>
      <x:c r="D10" s="85" t="str">
        <x:v>1. 1. 2025</x:v>
      </x:c>
      <x:c r="E10" s="85" t="str">
        <x:v>Klasifikacija, embalaža, dokumenti, oprema in kompetence</x:v>
      </x:c>
      <x:c r="F10" s="85" t="str">
        <x:v>dangerous-goods master data in dokazila</x:v>
      </x:c>
      <x:c r="G10" s="85" t="str">
        <x:v>SRC-020</x:v>
      </x:c>
    </x:row>
    <x:row r="11" ht="15" hidden="0" customHeight="1">
      <x:c r="A11" s="83" t="str">
        <x:v>REG-07</x:v>
      </x:c>
      <x:c r="B11" s="83" t="str">
        <x:v>Sledljivost hrane</x:v>
      </x:c>
      <x:c r="C11" s="83" t="str">
        <x:v>EU</x:v>
      </x:c>
      <x:c r="D11" s="83" t="str">
        <x:v>stalno</x:v>
      </x:c>
      <x:c r="E11" s="83" t="str">
        <x:v>Korak nazaj/naprej skozi proizvodnjo, predelavo in distribucijo</x:v>
      </x:c>
      <x:c r="F11" s="83" t="str">
        <x:v>GTIN/lot/SSCC, dogodki, partnerji</x:v>
      </x:c>
      <x:c r="G11" s="83" t="str">
        <x:v>SRC-021; SRC-030</x:v>
      </x:c>
    </x:row>
    <x:row r="12" ht="15" hidden="0" customHeight="1">
      <x:c r="A12" s="85" t="str">
        <x:v>REG-08</x:v>
      </x:c>
      <x:c r="B12" s="85" t="str">
        <x:v>GDP farmacija</x:v>
      </x:c>
      <x:c r="C12" s="85" t="str">
        <x:v>EU</x:v>
      </x:c>
      <x:c r="D12" s="85" t="str">
        <x:v>stalno</x:v>
      </x:c>
      <x:c r="E12" s="85" t="str">
        <x:v>Kakovost distribucije in dokazovanje pogojev</x:v>
      </x:c>
      <x:c r="F12" s="85" t="str">
        <x:v>temperature, kalibracije, odstopanja, CAPA</x:v>
      </x:c>
      <x:c r="G12" s="85" t="str">
        <x:v>SRC-022</x:v>
      </x:c>
    </x:row>
    <x:row r="13" ht="15" hidden="0" customHeight="1">
      <x:c r="A13" s="83" t="str">
        <x:v>REG-09</x:v>
      </x:c>
      <x:c r="B13" s="83" t="str">
        <x:v>NIS2</x:v>
      </x:c>
      <x:c r="C13" s="83" t="str">
        <x:v>EU + nacionalni prenos</x:v>
      </x:c>
      <x:c r="D13" s="83" t="str">
        <x:v>veljavno; obseg po subjektu</x:v>
      </x:c>
      <x:c r="E13" s="83" t="str">
        <x:v>Transport in pošta/kurirji sta zajeta sektorja, vendar ne avtomatično vsak SME</x:v>
      </x:c>
      <x:c r="F13" s="83" t="str">
        <x:v>asset register, incidenti, dobavitelji, kontinuiteta</x:v>
      </x:c>
      <x:c r="G13" s="83" t="str">
        <x:v>SRC-023</x:v>
      </x:c>
    </x:row>
    <x:row r="14" ht="15" hidden="0" customHeight="1">
      <x:c r="A14" s="85" t="str">
        <x:v>REG-10</x:v>
      </x:c>
      <x:c r="B14" s="85" t="str">
        <x:v>ETS2</x:v>
      </x:c>
      <x:c r="C14" s="85" t="str">
        <x:v>EU</x:v>
      </x:c>
      <x:c r="D14" s="85" t="str">
        <x:v>polno delovanje 2028</x:v>
      </x:c>
      <x:c r="E14" s="85" t="str">
        <x:v>Regulirani so upstream dobavitelji goriv; prevozniki občutijo cenovni signal</x:v>
      </x:c>
      <x:c r="F14" s="85" t="str">
        <x:v>scenarij goriva, CO2e in pogodbeni dodatki</x:v>
      </x:c>
      <x:c r="G14" s="85" t="str">
        <x:v>SRC-025</x:v>
      </x:c>
    </x:row>
    <x:row r="15" ht="15" hidden="0" customHeight="1">
      <x:c r="A15" s="83" t="str">
        <x:v>REG-11</x:v>
      </x:c>
      <x:c r="B15" s="83" t="str">
        <x:v>CSRD po Omnibusu</x:v>
      </x:c>
      <x:c r="C15" s="83" t="str">
        <x:v>EU</x:v>
      </x:c>
      <x:c r="D15" s="83" t="str">
        <x:v>2026 zožen obseg</x:v>
      </x:c>
      <x:c r="E15" s="83" t="str">
        <x:v>Zakonski obseg je ožji; veliki kupci lahko pogodbeno zahtevajo emisijske podatke</x:v>
      </x:c>
      <x:c r="F15" s="83" t="str">
        <x:v>podatki ISO 14083 in izvor</x:v>
      </x:c>
      <x:c r="G15" s="83" t="str">
        <x:v>SRC-026; SRC-027</x:v>
      </x:c>
    </x:row>
    <x:row r="16" ht="15" hidden="0" customHeight="1">
      <x:c r="A16" s="85" t="str">
        <x:v>REG-12</x:v>
      </x:c>
      <x:c r="B16" s="85" t="str">
        <x:v>AFIR</x:v>
      </x:c>
      <x:c r="C16" s="85" t="str">
        <x:v>EU</x:v>
      </x:c>
      <x:c r="D16" s="85" t="str">
        <x:v>fazni cilji</x:v>
      </x:c>
      <x:c r="E16" s="85" t="str">
        <x:v>Omrežje polnilne/vodikove infrastrukture za TEN-T in urbana vozlišča</x:v>
      </x:c>
      <x:c r="F16" s="85" t="str">
        <x:v>lokacije, energija, plan dosega</x:v>
      </x:c>
      <x:c r="G16" s="85" t="str">
        <x:v>SRC-028</x:v>
      </x:c>
    </x:row>
    <x:row r="17" ht="15" hidden="0" customHeight="1">
      <x:c r="A17" s="84" t="str">
        <x:v>REG-13</x:v>
      </x:c>
      <x:c r="B17" s="84" t="str">
        <x:v>Obvezni domači B2B e-računi RS</x:v>
      </x:c>
      <x:c r="C17" s="84" t="str">
        <x:v>Slovenija</x:v>
      </x:c>
      <x:c r="D17" s="84" t="str">
        <x:v>1. 1. 2028</x:v>
      </x:c>
      <x:c r="E17" s="84" t="str">
        <x:v>Izmenjava e-računov za poslovne subjekte pri domačih transakcijah</x:v>
      </x:c>
      <x:c r="F17" s="84" t="str">
        <x:v>strukturirani računi, procesne kontrole, arhiv</x:v>
      </x:c>
      <x:c r="G17" s="84" t="str">
        <x:v>SRC-034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0c09b22aa7049ec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52" hidden="0" customWidth="1"/>
    <x:col min="4" max="4" width="16" hidden="0" customWidth="1"/>
    <x:col min="5" max="5" width="16" hidden="0" customWidth="1"/>
    <x:col min="6" max="6" width="56" hidden="0" customWidth="1"/>
    <x:col min="7" max="7" width="76" hidden="0" customWidth="1"/>
  </x:cols>
  <x:sheetData>
    <x:row r="1" ht="34" customHeight="1">
      <x:c r="A1" s="4" t="str">
        <x:v>Register virov</x:v>
      </x:c>
      <x:c r="B1" s="4"/>
      <x:c r="C1" s="4"/>
      <x:c r="D1" s="4"/>
      <x:c r="E1" s="4"/>
      <x:c r="F1" s="4"/>
      <x:c r="G1" s="4"/>
    </x:row>
    <x:row r="2" ht="31" customHeight="1">
      <x:c r="A2" s="8" t="str">
        <x:v>Prednost imajo uradni, standardni in primarni viri. Ponudniški viri potrjujejo funkcije, ne neodvisnih poslovnih rezultatov.</x:v>
      </x:c>
      <x:c r="B2" s="8"/>
      <x:c r="C2" s="8"/>
      <x:c r="D2" s="8"/>
      <x:c r="E2" s="8"/>
      <x:c r="F2" s="8"/>
      <x:c r="G2" s="8"/>
    </x:row>
    <x:row r="4" ht="15" hidden="0" customHeight="1">
      <x:c r="A4" s="74" t="str">
        <x:v>ID</x:v>
      </x:c>
      <x:c r="B4" s="74" t="str">
        <x:v>Izdajatelj</x:v>
      </x:c>
      <x:c r="C4" s="74" t="str">
        <x:v>Naslov</x:v>
      </x:c>
      <x:c r="D4" s="74" t="str">
        <x:v>Datum</x:v>
      </x:c>
      <x:c r="E4" s="74" t="str">
        <x:v>Razred</x:v>
      </x:c>
      <x:c r="F4" s="74" t="str">
        <x:v>Uporaba</x:v>
      </x:c>
      <x:c r="G4" s="74" t="str">
        <x:v>URL</x:v>
      </x:c>
    </x:row>
    <x:row r="5" ht="15" hidden="0" customHeight="1">
      <x:c r="A5" s="82" t="str">
        <x:v>SRC-001</x:v>
      </x:c>
      <x:c r="B5" s="82" t="str">
        <x:v>SURS</x:v>
      </x:c>
      <x:c r="C5" s="82" t="str">
        <x:v>Cestni blagovni prevoz, 2025</x:v>
      </x:c>
      <x:c r="D5" s="82" t="str">
        <x:v>2026-05-14</x:v>
      </x:c>
      <x:c r="E5" s="82" t="str">
        <x:v>uradni</x:v>
      </x:c>
      <x:c r="F5" s="82" t="str">
        <x:v>Slovenija; obseg, tkm, km, prazne vožnje, domače/mednarodno</x:v>
      </x:c>
      <x:c r="G5" s="87" t="str">
        <x:v>https://www.stat.si/StatWeb/News/Index/14304</x:v>
      </x:c>
    </x:row>
    <x:row r="6" ht="15" hidden="0" customHeight="1">
      <x:c r="A6" s="85" t="str">
        <x:v>SRC-002</x:v>
      </x:c>
      <x:c r="B6" s="85" t="str">
        <x:v>SURS</x:v>
      </x:c>
      <x:c r="C6" s="85" t="str">
        <x:v>Cestni blagovni prevoz, 2024</x:v>
      </x:c>
      <x:c r="D6" s="85" t="str">
        <x:v>2025-05-15</x:v>
      </x:c>
      <x:c r="E6" s="85" t="str">
        <x:v>uradni</x:v>
      </x:c>
      <x:c r="F6" s="85" t="str">
        <x:v>Slovenija; primerjava trendov</x:v>
      </x:c>
      <x:c r="G6" s="88" t="str">
        <x:v>https://www.stat.si/StatWeb/news/Index/13587</x:v>
      </x:c>
    </x:row>
    <x:row r="7" ht="15" hidden="0" customHeight="1">
      <x:c r="A7" s="83" t="str">
        <x:v>SRC-003</x:v>
      </x:c>
      <x:c r="B7" s="83" t="str">
        <x:v>SURS</x:v>
      </x:c>
      <x:c r="C7" s="83" t="str">
        <x:v>Uspešnost podjetij po dejavnostih, 2024 - končni podatki</x:v>
      </x:c>
      <x:c r="D7" s="83" t="str">
        <x:v>2026-05-26</x:v>
      </x:c>
      <x:c r="E7" s="83" t="str">
        <x:v>uradni</x:v>
      </x:c>
      <x:c r="F7" s="83" t="str">
        <x:v>SKD H; podjetja, zaposleni, prihodki, dodana vrednost, investicije</x:v>
      </x:c>
      <x:c r="G7" s="89" t="str">
        <x:v>https://www.stat.si/StatWeb/en/News/Index/14354</x:v>
      </x:c>
    </x:row>
    <x:row r="8" ht="15" hidden="0" customHeight="1">
      <x:c r="A8" s="85" t="str">
        <x:v>SRC-004</x:v>
      </x:c>
      <x:c r="B8" s="85" t="str">
        <x:v>SURS SiStat</x:v>
      </x:c>
      <x:c r="C8" s="85" t="str">
        <x:v>Podjetja po dejavnosti in velikosti, 2024</x:v>
      </x:c>
      <x:c r="D8" s="85" t="str">
        <x:v>2026</x:v>
      </x:c>
      <x:c r="E8" s="85" t="str">
        <x:v>uradni</x:v>
      </x:c>
      <x:c r="F8" s="85" t="str">
        <x:v>SKD H in H49-H53 po velikostnih razredih; 2-enotno odstopanje od objave SRC-003</x:v>
      </x:c>
      <x:c r="G8" s="88" t="str">
        <x:v>https://pxweb.stat.si/SiStat/en/Home/DownloadPxMatrix?pxMatrixName=1418801S</x:v>
      </x:c>
    </x:row>
    <x:row r="9" ht="15" hidden="0" customHeight="1">
      <x:c r="A9" s="83" t="str">
        <x:v>SRC-005</x:v>
      </x:c>
      <x:c r="B9" s="83" t="str">
        <x:v>Eurostat</x:v>
      </x:c>
      <x:c r="C9" s="83" t="str">
        <x:v>Road freight transport by journey characteristics</x:v>
      </x:c>
      <x:c r="D9" s="83" t="str">
        <x:v>2026</x:v>
      </x:c>
      <x:c r="E9" s="83" t="str">
        <x:v>uradni</x:v>
      </x:c>
      <x:c r="F9" s="83" t="str">
        <x:v>EU 2024; prazni km, povprečni tovor, razdalje, mednarodni promet</x:v>
      </x:c>
      <x:c r="G9" s="89" t="str">
        <x:v>https://ec.europa.eu/eurostat/statistics-explained/index.php?title=Road_freight_transport_by_journey_characteristics</x:v>
      </x:c>
    </x:row>
    <x:row r="10" ht="15" hidden="0" customHeight="1">
      <x:c r="A10" s="85" t="str">
        <x:v>SRC-006</x:v>
      </x:c>
      <x:c r="B10" s="85" t="str">
        <x:v>Eurostat</x:v>
      </x:c>
      <x:c r="C10" s="85" t="str">
        <x:v>Freight transport statistics - modal split</x:v>
      </x:c>
      <x:c r="D10" s="85" t="str">
        <x:v>2026</x:v>
      </x:c>
      <x:c r="E10" s="85" t="str">
        <x:v>uradni</x:v>
      </x:c>
      <x:c r="F10" s="85" t="str">
        <x:v>Modalni deleži 2024 in metodološke omejitve</x:v>
      </x:c>
      <x:c r="G10" s="88" t="str">
        <x:v>https://ec.europa.eu/eurostat/statistics-explained/index.php?title=Freight_transport_statistics_-_modal_split</x:v>
      </x:c>
    </x:row>
    <x:row r="11" ht="15" hidden="0" customHeight="1">
      <x:c r="A11" s="83" t="str">
        <x:v>SRC-007</x:v>
      </x:c>
      <x:c r="B11" s="83" t="str">
        <x:v>SURS</x:v>
      </x:c>
      <x:c r="C11" s="83" t="str">
        <x:v>Železniški prevoz, 2025</x:v>
      </x:c>
      <x:c r="D11" s="83" t="str">
        <x:v>2026-07-09</x:v>
      </x:c>
      <x:c r="E11" s="83" t="str">
        <x:v>uradni</x:v>
      </x:c>
      <x:c r="F11" s="83" t="str">
        <x:v>17,254 mio t; 4.295,1 mio tkm; 87 % mednarodno</x:v>
      </x:c>
      <x:c r="G11" s="89" t="str">
        <x:v>https://www.stat.si/StatWeb/en/News/Index/14438</x:v>
      </x:c>
    </x:row>
    <x:row r="12" ht="15" hidden="0" customHeight="1">
      <x:c r="A12" s="85" t="str">
        <x:v>SRC-008</x:v>
      </x:c>
      <x:c r="B12" s="85" t="str">
        <x:v>Luka Koper</x:v>
      </x:c>
      <x:c r="C12" s="85" t="str">
        <x:v>Annual report 2025</x:v>
      </x:c>
      <x:c r="D12" s="85" t="str">
        <x:v>2026</x:v>
      </x:c>
      <x:c r="E12" s="85" t="str">
        <x:v>uradni</x:v>
      </x:c>
      <x:c r="F12" s="85" t="str">
        <x:v>Pristaniški obseg, TEU, vozila, modalni kontekst</x:v>
      </x:c>
      <x:c r="G12" s="88" t="str">
        <x:v>https://www.luka-kp.si/wp-content/uploads/2026/04/LK-LP-2025-ENG-v_FIN-res.pdf</x:v>
      </x:c>
    </x:row>
    <x:row r="13" ht="15" hidden="0" customHeight="1">
      <x:c r="A13" s="83" t="str">
        <x:v>SRC-009</x:v>
      </x:c>
      <x:c r="B13" s="83" t="str">
        <x:v>SURS</x:v>
      </x:c>
      <x:c r="C13" s="83" t="str">
        <x:v>World ICT Day 2026</x:v>
      </x:c>
      <x:c r="D13" s="83" t="str">
        <x:v>2026-05-15</x:v>
      </x:c>
      <x:c r="E13" s="83" t="str">
        <x:v>uradni</x:v>
      </x:c>
      <x:c r="F13" s="83" t="str">
        <x:v>Cloud, ERP, AI in trajnostna raba IKT v prometu/skladiščenju</x:v>
      </x:c>
      <x:c r="G13" s="89" t="str">
        <x:v>https://www.stat.si/StatWeb/en/News/Index/14340</x:v>
      </x:c>
    </x:row>
    <x:row r="14" ht="15" hidden="0" customHeight="1">
      <x:c r="A14" s="85" t="str">
        <x:v>SRC-010</x:v>
      </x:c>
      <x:c r="B14" s="85" t="str">
        <x:v>Eurostat</x:v>
      </x:c>
      <x:c r="C14" s="85" t="str">
        <x:v>Use of AI in enterprises, 2025</x:v>
      </x:c>
      <x:c r="D14" s="85" t="str">
        <x:v>2026</x:v>
      </x:c>
      <x:c r="E14" s="85" t="str">
        <x:v>uradni</x:v>
      </x:c>
      <x:c r="F14" s="85" t="str">
        <x:v>AI po dejavnostih in namenih; ovire</x:v>
      </x:c>
      <x:c r="G14" s="88" t="str">
        <x:v>https://ec.europa.eu/eurostat/statistics-explained/index.php?title=Use_of_artificial_intelligence_in_enterprises</x:v>
      </x:c>
    </x:row>
    <x:row r="15" ht="15" hidden="0" customHeight="1">
      <x:c r="A15" s="83" t="str">
        <x:v>SRC-011</x:v>
      </x:c>
      <x:c r="B15" s="83" t="str">
        <x:v>Eurostat</x:v>
      </x:c>
      <x:c r="C15" s="83" t="str">
        <x:v>Towards Digital Decade targets</x:v>
      </x:c>
      <x:c r="D15" s="83" t="str">
        <x:v>2026</x:v>
      </x:c>
      <x:c r="E15" s="83" t="str">
        <x:v>uradni</x:v>
      </x:c>
      <x:c r="F15" s="83" t="str">
        <x:v>Cloud in osnovna digitalna intenzivnost MSP</x:v>
      </x:c>
      <x:c r="G15" s="89" t="str">
        <x:v>https://ec.europa.eu/eurostat/statistics-explained/index.php?title=Towards_Digital_Decade_targets_for_Europe</x:v>
      </x:c>
    </x:row>
    <x:row r="16" ht="15" hidden="0" customHeight="1">
      <x:c r="A16" s="85" t="str">
        <x:v>SRC-012</x:v>
      </x:c>
      <x:c r="B16" s="85" t="str">
        <x:v>EURES</x:v>
      </x:c>
      <x:c r="C16" s="85" t="str">
        <x:v>Labour shortages and surpluses in Europe</x:v>
      </x:c>
      <x:c r="D16" s="85" t="str">
        <x:v>2025</x:v>
      </x:c>
      <x:c r="E16" s="85" t="str">
        <x:v>uradni</x:v>
      </x:c>
      <x:c r="F16" s="85" t="str">
        <x:v>Pomanjkanje voznikov in viličaristov</x:v>
      </x:c>
      <x:c r="G16" s="88" t="str">
        <x:v>https://eures.europa.eu/living-and-working/labour-shortages-and-surpluses-europe_en</x:v>
      </x:c>
    </x:row>
    <x:row r="17" ht="15" hidden="0" customHeight="1">
      <x:c r="A17" s="83" t="str">
        <x:v>SRC-013</x:v>
      </x:c>
      <x:c r="B17" s="83" t="str">
        <x:v>IRU</x:v>
      </x:c>
      <x:c r="C17" s="83" t="str">
        <x:v>Global truck driver shortage report</x:v>
      </x:c>
      <x:c r="D17" s="83" t="str">
        <x:v>2026</x:v>
      </x:c>
      <x:c r="E17" s="83" t="str">
        <x:v>panogni</x:v>
      </x:c>
      <x:c r="F17" s="83" t="str">
        <x:v>Evropa; primanjkljaj, starost in spolna struktura</x:v>
      </x:c>
      <x:c r="G17" s="89" t="str">
        <x:v>https://www.iru.org/news-resources/newsroom/operators-deeply-concerned-worsening-driver-shortage-new-iru-report</x:v>
      </x:c>
    </x:row>
    <x:row r="18" ht="15" hidden="0" customHeight="1">
      <x:c r="A18" s="85" t="str">
        <x:v>SRC-014</x:v>
      </x:c>
      <x:c r="B18" s="85" t="str">
        <x:v>Evropska komisija</x:v>
      </x:c>
      <x:c r="C18" s="85" t="str">
        <x:v>eFTI Regulation</x:v>
      </x:c>
      <x:c r="D18" s="85" t="str">
        <x:v>2026</x:v>
      </x:c>
      <x:c r="E18" s="85" t="str">
        <x:v>uradni</x:v>
      </x:c>
      <x:c r="F18" s="85" t="str">
        <x:v>Časovnica in obveznosti organov; ne zamenjati z eCMR</x:v>
      </x:c>
      <x:c r="G18" s="88" t="str">
        <x:v>https://transport.ec.europa.eu/transport-themes/logistics-and-multimodal-transport/efti-regulation_en</x:v>
      </x:c>
    </x:row>
    <x:row r="19" ht="21.600000381469727" hidden="0" customHeight="1">
      <x:c r="A19" s="83" t="str">
        <x:v>SRC-015</x:v>
      </x:c>
      <x:c r="B19" s="83" t="str">
        <x:v>Evropska komisija</x:v>
      </x:c>
      <x:c r="C19" s="83" t="str">
        <x:v>eFTI implementation timeline</x:v>
      </x:c>
      <x:c r="D19" s="83" t="str">
        <x:v>2025-01-09</x:v>
      </x:c>
      <x:c r="E19" s="83" t="str">
        <x:v>uradni</x:v>
      </x:c>
      <x:c r="F19" s="83" t="str">
        <x:v>Polna uporaba 9. 7. 2027</x:v>
      </x:c>
      <x:c r="G19" s="89" t="str">
        <x:v>https://transport.ec.europa.eu/news-events/news/towards-paperless-freight-transport-eu-takes-step-forward-efti-regulation-implementation-2025-01-09_en</x:v>
      </x:c>
    </x:row>
    <x:row r="20" ht="15" hidden="0" customHeight="1">
      <x:c r="A20" s="85" t="str">
        <x:v>SRC-016</x:v>
      </x:c>
      <x:c r="B20" s="85" t="str">
        <x:v>Evropska komisija</x:v>
      </x:c>
      <x:c r="C20" s="85" t="str">
        <x:v>Tachograph</x:v>
      </x:c>
      <x:c r="D20" s="85" t="str">
        <x:v>2026</x:v>
      </x:c>
      <x:c r="E20" s="85" t="str">
        <x:v>uradni</x:v>
      </x:c>
      <x:c r="F20" s="85" t="str">
        <x:v>Pametni tahograf v2, LCV 2,5-3,5 t od 1. 7. 2026</x:v>
      </x:c>
      <x:c r="G20" s="88" t="str">
        <x:v>https://transport.ec.europa.eu/transport-modes/road/tachograph_en</x:v>
      </x:c>
    </x:row>
    <x:row r="21" ht="15" hidden="0" customHeight="1">
      <x:c r="A21" s="83" t="str">
        <x:v>SRC-017</x:v>
      </x:c>
      <x:c r="B21" s="83" t="str">
        <x:v>Evropska komisija</x:v>
      </x:c>
      <x:c r="C21" s="83" t="str">
        <x:v>Driving time and rest periods</x:v>
      </x:c>
      <x:c r="D21" s="83" t="str">
        <x:v>2026</x:v>
      </x:c>
      <x:c r="E21" s="83" t="str">
        <x:v>uradni</x:v>
      </x:c>
      <x:c r="F21" s="83" t="str">
        <x:v>Čas vožnje, odmori in počitki</x:v>
      </x:c>
      <x:c r="G21" s="89" t="str">
        <x:v>https://transport.ec.europa.eu/transport-modes/road/social-provisions/driving-time-and-rest-periods_en</x:v>
      </x:c>
    </x:row>
    <x:row r="22" ht="15" hidden="0" customHeight="1">
      <x:c r="A22" s="85" t="str">
        <x:v>SRC-018</x:v>
      </x:c>
      <x:c r="B22" s="85" t="str">
        <x:v>UNECE</x:v>
      </x:c>
      <x:c r="C22" s="85" t="str">
        <x:v>eCMR business requirements</x:v>
      </x:c>
      <x:c r="D22" s="85" t="str">
        <x:v>2023</x:v>
      </x:c>
      <x:c r="E22" s="85" t="str">
        <x:v>uradni</x:v>
      </x:c>
      <x:c r="F22" s="85" t="str">
        <x:v>Strukturirani elektronski tovorni list; ločeno od eFTI</x:v>
      </x:c>
      <x:c r="G22" s="88" t="str">
        <x:v>https://unece.org/sites/default/files/2023-09/BRS%20eCMR_v1.0_0.pdf</x:v>
      </x:c>
    </x:row>
    <x:row r="23" ht="21.600000381469727" hidden="0" customHeight="1">
      <x:c r="A23" s="83" t="str">
        <x:v>SRC-019</x:v>
      </x:c>
      <x:c r="B23" s="83" t="str">
        <x:v>Evropska komisija</x:v>
      </x:c>
      <x:c r="C23" s="83" t="str">
        <x:v>ICS2 Release 3</x:v>
      </x:c>
      <x:c r="D23" s="83" t="str">
        <x:v>2025-08-29</x:v>
      </x:c>
      <x:c r="E23" s="83" t="str">
        <x:v>uradni</x:v>
      </x:c>
      <x:c r="F23" s="83" t="str">
        <x:v>Polno delovanje za vse načine od 1. 9. 2025</x:v>
      </x:c>
      <x:c r="G23" s="89" t="str">
        <x:v>https://taxation-customs.ec.europa.eu/news/transition-ics2-release-3-complete-limited-temporary-derogations-some-member-states-2025-08-29_en</x:v>
      </x:c>
    </x:row>
    <x:row r="24" ht="15" hidden="0" customHeight="1">
      <x:c r="A24" s="85" t="str">
        <x:v>SRC-020</x:v>
      </x:c>
      <x:c r="B24" s="85" t="str">
        <x:v>UNECE</x:v>
      </x:c>
      <x:c r="C24" s="85" t="str">
        <x:v>ADR 2025 files</x:v>
      </x:c>
      <x:c r="D24" s="85" t="str">
        <x:v>2025</x:v>
      </x:c>
      <x:c r="E24" s="85" t="str">
        <x:v>uradni</x:v>
      </x:c>
      <x:c r="F24" s="85" t="str">
        <x:v>Nevarno blago; izdaja velja od 1. 1. 2025</x:v>
      </x:c>
      <x:c r="G24" s="88" t="str">
        <x:v>https://unece.org/adr-2025-files</x:v>
      </x:c>
    </x:row>
    <x:row r="25" ht="15" hidden="0" customHeight="1">
      <x:c r="A25" s="83" t="str">
        <x:v>SRC-021</x:v>
      </x:c>
      <x:c r="B25" s="83" t="str">
        <x:v>Evropska komisija</x:v>
      </x:c>
      <x:c r="C25" s="83" t="str">
        <x:v>General Food Law - traceability</x:v>
      </x:c>
      <x:c r="D25" s="83" t="str">
        <x:v>2026</x:v>
      </x:c>
      <x:c r="E25" s="83" t="str">
        <x:v>uradni</x:v>
      </x:c>
      <x:c r="F25" s="83" t="str">
        <x:v>Sledljivost korak nazaj/naprej</x:v>
      </x:c>
      <x:c r="G25" s="89" t="str">
        <x:v>https://food.ec.europa.eu/horizontal-topics/general-food-law/food-law-general-requirements_en</x:v>
      </x:c>
    </x:row>
    <x:row r="26" ht="21.600000381469727" hidden="0" customHeight="1">
      <x:c r="A26" s="85" t="str">
        <x:v>SRC-022</x:v>
      </x:c>
      <x:c r="B26" s="85" t="str">
        <x:v>EMA</x:v>
      </x:c>
      <x:c r="C26" s="85" t="str">
        <x:v>Good distribution practice</x:v>
      </x:c>
      <x:c r="D26" s="85" t="str">
        <x:v>2026</x:v>
      </x:c>
      <x:c r="E26" s="85" t="str">
        <x:v>uradni</x:v>
      </x:c>
      <x:c r="F26" s="85" t="str">
        <x:v>Farmacevtska distribucija in kakovost</x:v>
      </x:c>
      <x:c r="G26" s="88" t="str">
        <x:v>https://www.ema.europa.eu/en/human-regulatory-overview/post-authorisation/compliance-post-authorisation/good-distribution-practice</x:v>
      </x:c>
    </x:row>
    <x:row r="27" ht="21.600000381469727" hidden="0" customHeight="1">
      <x:c r="A27" s="83" t="str">
        <x:v>SRC-023</x:v>
      </x:c>
      <x:c r="B27" s="83" t="str">
        <x:v>Evropska komisija</x:v>
      </x:c>
      <x:c r="C27" s="83" t="str">
        <x:v>NIS2 FAQ</x:v>
      </x:c>
      <x:c r="D27" s="83" t="str">
        <x:v>2026</x:v>
      </x:c>
      <x:c r="E27" s="83" t="str">
        <x:v>uradni</x:v>
      </x:c>
      <x:c r="F27" s="83" t="str">
        <x:v>Sektorski in velikostni obseg; ne velja avtomatično za vse MSP</x:v>
      </x:c>
      <x:c r="G27" s="89" t="str">
        <x:v>https://digital-strategy.ec.europa.eu/en/faqs/directive-measures-high-common-level-cybersecurity-across-union-nis2-directive-faqs</x:v>
      </x:c>
    </x:row>
    <x:row r="28" ht="15" hidden="0" customHeight="1">
      <x:c r="A28" s="85" t="str">
        <x:v>SRC-024</x:v>
      </x:c>
      <x:c r="B28" s="85" t="str">
        <x:v>ENISA</x:v>
      </x:c>
      <x:c r="C28" s="85" t="str">
        <x:v>Threat Landscape 2025</x:v>
      </x:c>
      <x:c r="D28" s="85" t="str">
        <x:v>2025</x:v>
      </x:c>
      <x:c r="E28" s="85" t="str">
        <x:v>uradni</x:v>
      </x:c>
      <x:c r="F28" s="85" t="str">
        <x:v>Transport 7,5 % incidentov; phishing in ransomware</x:v>
      </x:c>
      <x:c r="G28" s="88" t="str">
        <x:v>https://www.enisa.europa.eu/news/etl-2025-eu-consistently-targeted-by-diverse-yet-convergent-threat-groups</x:v>
      </x:c>
    </x:row>
    <x:row r="29" ht="15" hidden="0" customHeight="1">
      <x:c r="A29" s="83" t="str">
        <x:v>SRC-025</x:v>
      </x:c>
      <x:c r="B29" s="83" t="str">
        <x:v>Evropska komisija</x:v>
      </x:c>
      <x:c r="C29" s="83" t="str">
        <x:v>ETS2</x:v>
      </x:c>
      <x:c r="D29" s="83" t="str">
        <x:v>2026</x:v>
      </x:c>
      <x:c r="E29" s="83" t="str">
        <x:v>uradni</x:v>
      </x:c>
      <x:c r="F29" s="83" t="str">
        <x:v>Začetek polnega delovanja 2028; učinek prek dobaviteljev goriv</x:v>
      </x:c>
      <x:c r="G29" s="89" t="str">
        <x:v>https://climate.ec.europa.eu/areas-action/carbon-markets/ets2-buildings-road-transport-and-additional-sectors_en</x:v>
      </x:c>
    </x:row>
    <x:row r="30" ht="21.600000381469727" hidden="0" customHeight="1">
      <x:c r="A30" s="85" t="str">
        <x:v>SRC-026</x:v>
      </x:c>
      <x:c r="B30" s="85" t="str">
        <x:v>Svet EU</x:v>
      </x:c>
      <x:c r="C30" s="85" t="str">
        <x:v>Omnibus - CSRD/CSDDD simplification</x:v>
      </x:c>
      <x:c r="D30" s="85" t="str">
        <x:v>2026-02-24</x:v>
      </x:c>
      <x:c r="E30" s="85" t="str">
        <x:v>uradni</x:v>
      </x:c>
      <x:c r="F30" s="85" t="str">
        <x:v>Zožen zakonski obseg; zahteve kupcev v verigi ostajajo možne</x:v>
      </x:c>
      <x:c r="G30" s="88" t="str">
        <x:v>https://www.consilium.europa.eu/en/press/press-releases/2026/02/24/council-signs-off-simplification-of-sustainability-reporting-and-due-diligence-requirements-to-boost-eu-competitiveness/</x:v>
      </x:c>
    </x:row>
    <x:row r="31" ht="15" hidden="0" customHeight="1">
      <x:c r="A31" s="83" t="str">
        <x:v>SRC-027</x:v>
      </x:c>
      <x:c r="B31" s="83" t="str">
        <x:v>ISO</x:v>
      </x:c>
      <x:c r="C31" s="83" t="str">
        <x:v>ISO 14083:2023</x:v>
      </x:c>
      <x:c r="D31" s="83" t="str">
        <x:v>2023</x:v>
      </x:c>
      <x:c r="E31" s="83" t="str">
        <x:v>standard</x:v>
      </x:c>
      <x:c r="F31" s="83" t="str">
        <x:v>Metodologija GHG za transportne verige</x:v>
      </x:c>
      <x:c r="G31" s="89" t="str">
        <x:v>https://www.iso.org/standard/78864.html</x:v>
      </x:c>
    </x:row>
    <x:row r="32" ht="21.600000381469727" hidden="0" customHeight="1">
      <x:c r="A32" s="85" t="str">
        <x:v>SRC-028</x:v>
      </x:c>
      <x:c r="B32" s="85" t="str">
        <x:v>Evropska komisija</x:v>
      </x:c>
      <x:c r="C32" s="85" t="str">
        <x:v>AFIR</x:v>
      </x:c>
      <x:c r="D32" s="85" t="str">
        <x:v>2026</x:v>
      </x:c>
      <x:c r="E32" s="85" t="str">
        <x:v>uradni</x:v>
      </x:c>
      <x:c r="F32" s="85" t="str">
        <x:v>Infrastrukturni cilji za alternativna goriva</x:v>
      </x:c>
      <x:c r="G32" s="88" t="str">
        <x:v>https://transport.ec.europa.eu/transport-themes/clean-transport/alternative-fuels-sustainable-mobility-europe/alternative-fuels-infrastructure_en</x:v>
      </x:c>
    </x:row>
    <x:row r="33" ht="15" hidden="0" customHeight="1">
      <x:c r="A33" s="83" t="str">
        <x:v>SRC-029</x:v>
      </x:c>
      <x:c r="B33" s="83" t="str">
        <x:v>GS1</x:v>
      </x:c>
      <x:c r="C33" s="83" t="str">
        <x:v>EPCIS and CBV</x:v>
      </x:c>
      <x:c r="D33" s="83" t="str">
        <x:v>2026</x:v>
      </x:c>
      <x:c r="E33" s="83" t="str">
        <x:v>standard</x:v>
      </x:c>
      <x:c r="F33" s="83" t="str">
        <x:v>Dogodkovni jezik za vidljivost dobavne verige</x:v>
      </x:c>
      <x:c r="G33" s="89" t="str">
        <x:v>https://www.gs1.org/standards/epcis</x:v>
      </x:c>
    </x:row>
    <x:row r="34" ht="15" hidden="0" customHeight="1">
      <x:c r="A34" s="85" t="str">
        <x:v>SRC-030</x:v>
      </x:c>
      <x:c r="B34" s="85" t="str">
        <x:v>GS1</x:v>
      </x:c>
      <x:c r="C34" s="85" t="str">
        <x:v>Global Traceability Standard</x:v>
      </x:c>
      <x:c r="D34" s="85" t="str">
        <x:v>2026</x:v>
      </x:c>
      <x:c r="E34" s="85" t="str">
        <x:v>standard</x:v>
      </x:c>
      <x:c r="F34" s="85" t="str">
        <x:v>Identifikacija, kritični sledilni dogodki in ključni podatki</x:v>
      </x:c>
      <x:c r="G34" s="88" t="str">
        <x:v>https://www.gs1.org/standards/gs1-global-traceability-standard/current-standard</x:v>
      </x:c>
    </x:row>
    <x:row r="35" ht="21.600000381469727" hidden="0" customHeight="1">
      <x:c r="A35" s="83" t="str">
        <x:v>SRC-031</x:v>
      </x:c>
      <x:c r="B35" s="83" t="str">
        <x:v>EU Payment Observatory</x:v>
      </x:c>
      <x:c r="C35" s="83" t="str">
        <x:v>Annual report summary 2025</x:v>
      </x:c>
      <x:c r="D35" s="83" t="str">
        <x:v>2025</x:v>
      </x:c>
      <x:c r="E35" s="83" t="str">
        <x:v>uradni</x:v>
      </x:c>
      <x:c r="F35" s="83" t="str">
        <x:v>Pozna plačila; kontekst terjatev</x:v>
      </x:c>
      <x:c r="G35" s="89" t="str">
        <x:v>https://single-market-economy.ec.europa.eu/document/download/8aabc383-52ce-49a9-a197-b4c49dc79a64_en?filename=Summary+2025.pdf</x:v>
      </x:c>
    </x:row>
    <x:row r="36" ht="15" hidden="0" customHeight="1">
      <x:c r="A36" s="85" t="str">
        <x:v>SRC-032</x:v>
      </x:c>
      <x:c r="B36" s="85" t="str">
        <x:v>Evropska komisija</x:v>
      </x:c>
      <x:c r="C36" s="85" t="str">
        <x:v>Weekly Oil Bulletin</x:v>
      </x:c>
      <x:c r="D36" s="85" t="str">
        <x:v>2026</x:v>
      </x:c>
      <x:c r="E36" s="85" t="str">
        <x:v>uradni</x:v>
      </x:c>
      <x:c r="F36" s="85" t="str">
        <x:v>Dinamični vir cen goriva; ne hardkodirati</x:v>
      </x:c>
      <x:c r="G36" s="88" t="str">
        <x:v>https://energy.ec.europa.eu/data-and-analysis/weekly-oil-bulletin_en</x:v>
      </x:c>
    </x:row>
    <x:row r="37" ht="15" hidden="0" customHeight="1">
      <x:c r="A37" s="83" t="str">
        <x:v>SRC-033</x:v>
      </x:c>
      <x:c r="B37" s="83" t="str">
        <x:v>IRU</x:v>
      </x:c>
      <x:c r="C37" s="83" t="str">
        <x:v>European road freight rates Q4 2025</x:v>
      </x:c>
      <x:c r="D37" s="83" t="str">
        <x:v>2026</x:v>
      </x:c>
      <x:c r="E37" s="83" t="str">
        <x:v>panogni</x:v>
      </x:c>
      <x:c r="F37" s="83" t="str">
        <x:v>Tržni kontekst stroškov; ni podjetniški benchmark</x:v>
      </x:c>
      <x:c r="G37" s="89" t="str">
        <x:v>https://www.iru.org/news-resources/newsroom/european-road-freight-rates-q4-2025-contract-rates-spot-rates-steady</x:v>
      </x:c>
    </x:row>
    <x:row r="38" ht="21.600000381469727" hidden="0" customHeight="1">
      <x:c r="A38" s="85" t="str">
        <x:v>SRC-034</x:v>
      </x:c>
      <x:c r="B38" s="85" t="str">
        <x:v>Ministrstvo za finance RS</x:v>
      </x:c>
      <x:c r="C38" s="85" t="str">
        <x:v>Zakon o izmenjavi e-računov</x:v>
      </x:c>
      <x:c r="D38" s="85" t="str">
        <x:v>2025-10-23</x:v>
      </x:c>
      <x:c r="E38" s="85" t="str">
        <x:v>uradni</x:v>
      </x:c>
      <x:c r="F38" s="85" t="str">
        <x:v>Obvezna domača B2B izmenjava od 1. 1. 2028</x:v>
      </x:c>
      <x:c r="G38" s="88" t="str">
        <x:v>https://www.gov.si/novice/2025-10-23-drzavni-zbor-sprejel-zakon-o-izmenjavi-elektronskih-racunov-in-drugih-elektronskih-dokumentov/</x:v>
      </x:c>
    </x:row>
    <x:row r="39" ht="15" hidden="0" customHeight="1">
      <x:c r="A39" s="83" t="str">
        <x:v>SRC-035</x:v>
      </x:c>
      <x:c r="B39" s="83" t="str">
        <x:v>Datalab</x:v>
      </x:c>
      <x:c r="C39" s="83" t="str">
        <x:v>PANTHEON Enterprise</x:v>
      </x:c>
      <x:c r="D39" s="83" t="str">
        <x:v>2026</x:v>
      </x:c>
      <x:c r="E39" s="83" t="str">
        <x:v>ponudnik</x:v>
      </x:c>
      <x:c r="F39" s="83" t="str">
        <x:v>Uradno opisane ERP, skladiščne, finančne, kadrovske in BI zmožnosti</x:v>
      </x:c>
      <x:c r="G39" s="89" t="str">
        <x:v>https://www.datalab.eu/pantheon/enterprise/</x:v>
      </x:c>
    </x:row>
    <x:row r="40">
      <x:c r="A40" s="85" t="str">
        <x:v>SRC-036</x:v>
      </x:c>
      <x:c r="B40" s="85" t="str">
        <x:v>Datalab</x:v>
      </x:c>
      <x:c r="C40" s="85" t="str">
        <x:v>PANTHEON - zaloge in integracije</x:v>
      </x:c>
      <x:c r="D40" s="85" t="str">
        <x:v>2026</x:v>
      </x:c>
      <x:c r="E40" s="85" t="str">
        <x:v>ponudnik</x:v>
      </x:c>
      <x:c r="F40" s="85" t="str">
        <x:v>Zaloge, loti, prejemi/izdaje, API/integracije</x:v>
      </x:c>
      <x:c r="G40" s="88" t="str">
        <x:v>https://www.datalab.eu/?amp%3Bp=71205&amp;post_type=pantheon</x:v>
      </x:c>
    </x:row>
    <x:row r="41">
      <x:c r="A41" s="83" t="str">
        <x:v>SRC-037</x:v>
      </x:c>
      <x:c r="B41" s="83" t="str">
        <x:v>Datalab</x:v>
      </x:c>
      <x:c r="C41" s="83" t="str">
        <x:v>PANTHEON Connector FAQ</x:v>
      </x:c>
      <x:c r="D41" s="83" t="str">
        <x:v>2026</x:v>
      </x:c>
      <x:c r="E41" s="83" t="str">
        <x:v>ponudnik</x:v>
      </x:c>
      <x:c r="F41" s="83" t="str">
        <x:v>Licenčna zahteva za avtomatske zunanje povezave</x:v>
      </x:c>
      <x:c r="G41" s="89" t="str">
        <x:v>https://www.datalab.eu/support/faq/?cat-id=101&amp;faq-id=9262</x:v>
      </x:c>
    </x:row>
    <x:row r="42">
      <x:c r="A42" s="85" t="str">
        <x:v>SRC-038</x:v>
      </x:c>
      <x:c r="B42" s="85" t="str">
        <x:v>Datalab</x:v>
      </x:c>
      <x:c r="C42" s="85" t="str">
        <x:v>Inventura skladišč</x:v>
      </x:c>
      <x:c r="D42" s="85" t="str">
        <x:v>2026</x:v>
      </x:c>
      <x:c r="E42" s="85" t="str">
        <x:v>ponudnik</x:v>
      </x:c>
      <x:c r="F42" s="85" t="str">
        <x:v>Namenska inventurna granula</x:v>
      </x:c>
      <x:c r="G42" s="88" t="str">
        <x:v>https://www.datalab.si/pantheon-granule/granula-inventura-skladisc/</x:v>
      </x:c>
    </x:row>
    <x:row r="43">
      <x:c r="A43" s="83" t="str">
        <x:v>SRC-039</x:v>
      </x:c>
      <x:c r="B43" s="83" t="str">
        <x:v>Datalab</x:v>
      </x:c>
      <x:c r="C43" s="83" t="str">
        <x:v>Europacific reference story</x:v>
      </x:c>
      <x:c r="D43" s="83" t="str">
        <x:v>2026</x:v>
      </x:c>
      <x:c r="E43" s="83" t="str">
        <x:v>ponudnik</x:v>
      </x:c>
      <x:c r="F43" s="83" t="str">
        <x:v>Obstoj reference; javni izid je preskop za kvantitativne trditve</x:v>
      </x:c>
      <x:c r="G43" s="89" t="str">
        <x:v>https://www.datalab.eu/stories/europacific-logistika-d-o-o/</x:v>
      </x:c>
    </x:row>
    <x:row r="44">
      <x:c r="A44" s="85" t="str">
        <x:v>SRC-040</x:v>
      </x:c>
      <x:c r="B44" s="85" t="str">
        <x:v>Microsoft</x:v>
      </x:c>
      <x:c r="C44" s="85" t="str">
        <x:v>Dynamics 365 Warehouse Management</x:v>
      </x:c>
      <x:c r="D44" s="85" t="str">
        <x:v>2026</x:v>
      </x:c>
      <x:c r="E44" s="85" t="str">
        <x:v>ponudnik</x:v>
      </x:c>
      <x:c r="F44" s="85" t="str">
        <x:v>Referenčni obseg naprednega WMS</x:v>
      </x:c>
      <x:c r="G44" s="88" t="str">
        <x:v>https://learn.microsoft.com/en-us/dynamics365/supply-chain/warehousing/warehouse-management-overview</x:v>
      </x:c>
    </x:row>
    <x:row r="45">
      <x:c r="A45" s="83" t="str">
        <x:v>SRC-041</x:v>
      </x:c>
      <x:c r="B45" s="83" t="str">
        <x:v>Microsoft</x:v>
      </x:c>
      <x:c r="C45" s="83" t="str">
        <x:v>Dynamics 365 Transportation Management</x:v>
      </x:c>
      <x:c r="D45" s="83" t="str">
        <x:v>2026</x:v>
      </x:c>
      <x:c r="E45" s="83" t="str">
        <x:v>ponudnik</x:v>
      </x:c>
      <x:c r="F45" s="83" t="str">
        <x:v>Referenčni obseg TMS</x:v>
      </x:c>
      <x:c r="G45" s="89" t="str">
        <x:v>https://learn.microsoft.com/en-us/dynamics365/supply-chain/transportation/transportation-management-overview</x:v>
      </x:c>
    </x:row>
    <x:row r="46">
      <x:c r="A46" s="85" t="str">
        <x:v>SRC-042</x:v>
      </x:c>
      <x:c r="B46" s="85" t="str">
        <x:v>SAP</x:v>
      </x:c>
      <x:c r="C46" s="85" t="str">
        <x:v>SAP Business One logistics learning</x:v>
      </x:c>
      <x:c r="D46" s="85" t="str">
        <x:v>2026</x:v>
      </x:c>
      <x:c r="E46" s="85" t="str">
        <x:v>ponudnik</x:v>
      </x:c>
      <x:c r="F46" s="85" t="str">
        <x:v>ERP-logistični konkurenčni okvir</x:v>
      </x:c>
      <x:c r="G46" s="88" t="str">
        <x:v>https://learning.sap.com/courses/managing-logistics-in-sap-business-one</x:v>
      </x:c>
    </x:row>
    <x:row r="47">
      <x:c r="A47" s="83" t="str">
        <x:v>SRC-043</x:v>
      </x:c>
      <x:c r="B47" s="83" t="str">
        <x:v>Microsoft</x:v>
      </x:c>
      <x:c r="C47" s="83" t="str">
        <x:v>Dynamics 365 Business Central</x:v>
      </x:c>
      <x:c r="D47" s="83" t="str">
        <x:v>2026</x:v>
      </x:c>
      <x:c r="E47" s="83" t="str">
        <x:v>ponudnik</x:v>
      </x:c>
      <x:c r="F47" s="83" t="str">
        <x:v>ERP-konkurenca za MSP</x:v>
      </x:c>
      <x:c r="G47" s="89" t="str">
        <x:v>https://www.microsoft.com/en-us/dynamics-365/products/business-central</x:v>
      </x:c>
    </x:row>
    <x:row r="48">
      <x:c r="A48" s="86" t="str">
        <x:v>SRC-044</x:v>
      </x:c>
      <x:c r="B48" s="86" t="str">
        <x:v>Datalab kontekst</x:v>
      </x:c>
      <x:c r="C48" s="86" t="str">
        <x:v>Priložena interna raziskovalna osnova</x:v>
      </x:c>
      <x:c r="D48" s="86" t="str">
        <x:v>2026-08-07</x:v>
      </x:c>
      <x:c r="E48" s="86" t="str">
        <x:v>interni</x:v>
      </x:c>
      <x:c r="F48" s="86" t="str">
        <x:v>Portfelj, licence, partnerji, arhitektura, konkurenca; cene iz 2022 so zastarele</x:v>
      </x:c>
      <x:c r="G48" s="91" t="str">
        <x:v>lokalna priloga: Datalab_kontekst.md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09f9149942d496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6" hidden="0" customWidth="1"/>
    <x:col min="3" max="3" width="48" hidden="0" customWidth="1"/>
    <x:col min="4" max="4" width="16" hidden="0" customWidth="1"/>
    <x:col min="5" max="5" width="62" hidden="0" customWidth="1"/>
  </x:cols>
  <x:sheetData>
    <x:row r="1" ht="34" customHeight="1">
      <x:c r="A1" s="4" t="str">
        <x:v>Register raziskovalnih vrzeli</x:v>
      </x:c>
      <x:c r="B1" s="4"/>
      <x:c r="C1" s="4"/>
      <x:c r="D1" s="4"/>
      <x:c r="E1" s="4"/>
    </x:row>
    <x:row r="2" ht="31" customHeight="1">
      <x:c r="A2" s="8" t="str">
        <x:v>Prednost imajo lastniški baseline podatki, AJPES obogatitev in strukturirani case intervjuji.</x:v>
      </x:c>
      <x:c r="B2" s="8"/>
      <x:c r="C2" s="8"/>
      <x:c r="D2" s="8"/>
      <x:c r="E2" s="8"/>
    </x:row>
    <x:row r="4" ht="15" hidden="0" customHeight="1">
      <x:c r="A4" s="74" t="str">
        <x:v>ID</x:v>
      </x:c>
      <x:c r="B4" s="74" t="str">
        <x:v>Vrzel</x:v>
      </x:c>
      <x:c r="C4" s="74" t="str">
        <x:v>Predlagani vir/metoda</x:v>
      </x:c>
      <x:c r="D4" s="74" t="str">
        <x:v>Prioriteta</x:v>
      </x:c>
      <x:c r="E4" s="74" t="str">
        <x:v>Razlog</x:v>
      </x:c>
    </x:row>
    <x:row r="5" ht="15" hidden="0" customHeight="1">
      <x:c r="A5" s="82" t="str">
        <x:v>GAP-01</x:v>
      </x:c>
      <x:c r="B5" s="82" t="str">
        <x:v>Natančen TAM 20-500 zaposlenih po arhetipu</x:v>
      </x:c>
      <x:c r="C5" s="82" t="str">
        <x:v>AJPES/Poslovni register + SKD + spletno bogatenje</x:v>
      </x:c>
      <x:c r="D5" s="82" t="str">
        <x:v>visoka</x:v>
      </x:c>
      <x:c r="E5" s="82" t="str">
        <x:v>Javni SURS razredi so 10-49, 50-249, 250+</x:v>
      </x:c>
    </x:row>
    <x:row r="6" ht="15" hidden="0" customHeight="1">
      <x:c r="A6" s="85" t="str">
        <x:v>GAP-02</x:v>
      </x:c>
      <x:c r="B6" s="85" t="str">
        <x:v>Podjetniški strošek/km po tipu vozila/relaciji</x:v>
      </x:c>
      <x:c r="C6" s="85" t="str">
        <x:v>anonimizirani fleet P&amp;L vzorec</x:v>
      </x:c>
      <x:c r="D6" s="85" t="str">
        <x:v>visoka</x:v>
      </x:c>
      <x:c r="E6" s="85" t="str">
        <x:v>Javni tržni podatki niso strošek posameznega podjetja</x:v>
      </x:c>
    </x:row>
    <x:row r="7" ht="15" hidden="0" customHeight="1">
      <x:c r="A7" s="83" t="str">
        <x:v>GAP-03</x:v>
      </x:c>
      <x:c r="B7" s="83" t="str">
        <x:v>POD-to-invoice in billing leakage</x:v>
      </x:c>
      <x:c r="C7" s="83" t="str">
        <x:v>ERP/TMS audit 20-30 podjetij</x:v>
      </x:c>
      <x:c r="D7" s="83" t="str">
        <x:v>visoka</x:v>
      </x:c>
      <x:c r="E7" s="83" t="str">
        <x:v>Ni zanesljivega javnega benchmarka za ciljni trg</x:v>
      </x:c>
    </x:row>
    <x:row r="8" ht="15" hidden="0" customHeight="1">
      <x:c r="A8" s="85" t="str">
        <x:v>GAP-04</x:v>
      </x:c>
      <x:c r="B8" s="85" t="str">
        <x:v>WMS produktivnost po profilu naročila</x:v>
      </x:c>
      <x:c r="C8" s="85" t="str">
        <x:v>WMS event logs + delovne ure</x:v>
      </x:c>
      <x:c r="D8" s="85" t="str">
        <x:v>visoka</x:v>
      </x:c>
      <x:c r="E8" s="85" t="str">
        <x:v>Vrstice/h brez profila niso primerljive</x:v>
      </x:c>
    </x:row>
    <x:row r="9" ht="15" hidden="0" customHeight="1">
      <x:c r="A9" s="83" t="str">
        <x:v>GAP-05</x:v>
      </x:c>
      <x:c r="B9" s="83" t="str">
        <x:v>3PL capture rate</x:v>
      </x:c>
      <x:c r="C9" s="83" t="str">
        <x:v>pogodbe + dogodki + računi</x:v>
      </x:c>
      <x:c r="D9" s="83" t="str">
        <x:v>visoka</x:v>
      </x:c>
      <x:c r="E9" s="83" t="str">
        <x:v>Komercialno občutljivo in specifično</x:v>
      </x:c>
    </x:row>
    <x:row r="10" ht="15" hidden="0" customHeight="1">
      <x:c r="A10" s="85" t="str">
        <x:v>GAP-06</x:v>
      </x:c>
      <x:c r="B10" s="85" t="str">
        <x:v>PANTHEON funkcionalni obseg po verziji/licenci</x:v>
      </x:c>
      <x:c r="C10" s="85" t="str">
        <x:v>uradna aktualna licenčna matrika + demo test</x:v>
      </x:c>
      <x:c r="D10" s="85" t="str">
        <x:v>visoka</x:v>
      </x:c>
      <x:c r="E10" s="85" t="str">
        <x:v>Interni kontekst vsebuje tudi cene iz 2022</x:v>
      </x:c>
    </x:row>
    <x:row r="11" ht="15" hidden="0" customHeight="1">
      <x:c r="A11" s="83" t="str">
        <x:v>GAP-07</x:v>
      </x:c>
      <x:c r="B11" s="83" t="str">
        <x:v>Dejanski učinki PANTHEON logističnih referenc</x:v>
      </x:c>
      <x:c r="C11" s="83" t="str">
        <x:v>strukturirani case interviews</x:v>
      </x:c>
      <x:c r="D11" s="83" t="str">
        <x:v>visoka</x:v>
      </x:c>
      <x:c r="E11" s="83" t="str">
        <x:v>Javne reference ne podpirajo kvantitativnih rezultatov</x:v>
      </x:c>
    </x:row>
    <x:row r="12" ht="15" hidden="0" customHeight="1">
      <x:c r="A12" s="85" t="str">
        <x:v>GAP-08</x:v>
      </x:c>
      <x:c r="B12" s="85" t="str">
        <x:v>VOC po personah in državah</x:v>
      </x:c>
      <x:c r="C12" s="85" t="str">
        <x:v>30-50 intervjujev, kodiranje izjav</x:v>
      </x:c>
      <x:c r="D12" s="85" t="str">
        <x:v>srednja</x:v>
      </x:c>
      <x:c r="E12" s="85" t="str">
        <x:v>Sedanji VOC je hipoteza, ne citat</x:v>
      </x:c>
    </x:row>
    <x:row r="13" ht="15" hidden="0" customHeight="1">
      <x:c r="A13" s="83" t="str">
        <x:v>GAP-09</x:v>
      </x:c>
      <x:c r="B13" s="83" t="str">
        <x:v>Digitalna zrelost SI/HR/RS/BA/MK</x:v>
      </x:c>
      <x:c r="C13" s="83" t="str">
        <x:v>primerljiv survey ali enrichment</x:v>
      </x:c>
      <x:c r="D13" s="83" t="str">
        <x:v>srednja</x:v>
      </x:c>
      <x:c r="E13" s="83" t="str">
        <x:v>Uradni podatki niso vedno enako granularni</x:v>
      </x:c>
    </x:row>
    <x:row r="14" ht="15" hidden="0" customHeight="1">
      <x:c r="A14" s="86" t="str">
        <x:v>GAP-10</x:v>
      </x:c>
      <x:c r="B14" s="86" t="str">
        <x:v>Willingness-to-pay in nakupni proces</x:v>
      </x:c>
      <x:c r="C14" s="86" t="str">
        <x:v>win/loss + conjoint/price interviews</x:v>
      </x:c>
      <x:c r="D14" s="86" t="str">
        <x:v>srednja</x:v>
      </x:c>
      <x:c r="E14" s="86" t="str">
        <x:v>Ne sklepati iz ROI potenciala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42c096a6c1743cd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4" t="str">
        <x:v>Scenarijski ROI-model</x:v>
      </x:c>
      <x:c r="B1" s="4"/>
      <x:c r="C1" s="4"/>
      <x:c r="D1" s="4"/>
      <x:c r="E1" s="4"/>
      <x:c r="F1" s="4"/>
    </x:row>
    <x:row r="2" ht="31" customHeight="1">
      <x:c r="A2" s="8" t="str">
        <x:v>Modri podatki so ilustrativni vhodi P10/P50/P90; zelene celice so formule. Vse zamenjajte z baseline podatki in aktualno ponudbo.</x:v>
      </x:c>
      <x:c r="B2" s="8"/>
      <x:c r="C2" s="8"/>
      <x:c r="D2" s="8"/>
      <x:c r="E2" s="8"/>
      <x:c r="F2" s="8"/>
    </x:row>
    <x:row r="4">
      <x:c r="A4" s="93" t="str">
        <x:v>ID</x:v>
      </x:c>
      <x:c r="B4" s="93" t="str">
        <x:v>Predpostavka</x:v>
      </x:c>
      <x:c r="C4" s="93" t="str">
        <x:v>Enota</x:v>
      </x:c>
      <x:c r="D4" s="93" t="str">
        <x:v>P10</x:v>
      </x:c>
      <x:c r="E4" s="93" t="str">
        <x:v>P50</x:v>
      </x:c>
      <x:c r="F4" s="93" t="str">
        <x:v>P90</x:v>
      </x:c>
    </x:row>
    <x:row r="5">
      <x:c r="A5" s="96" t="str">
        <x:v>A01</x:v>
      </x:c>
      <x:c r="B5" s="96" t="str">
        <x:v>Trenutna naslovljiva izguba</x:v>
      </x:c>
      <x:c r="C5" s="96" t="str">
        <x:v>EUR/leto</x:v>
      </x:c>
      <x:c r="D5" s="99" t="n">
        <x:v>120000</x:v>
      </x:c>
      <x:c r="E5" s="99" t="n">
        <x:v>200000</x:v>
      </x:c>
      <x:c r="F5" s="99" t="n">
        <x:v>320000</x:v>
      </x:c>
    </x:row>
    <x:row r="6">
      <x:c r="A6" s="96" t="str">
        <x:v>A02</x:v>
      </x:c>
      <x:c r="B6" s="96" t="str">
        <x:v>Tehnični potencial</x:v>
      </x:c>
      <x:c r="C6" s="96" t="str">
        <x:v>%</x:v>
      </x:c>
      <x:c r="D6" s="98" t="n">
        <x:v>0.3</x:v>
      </x:c>
      <x:c r="E6" s="98" t="n">
        <x:v>0.45</x:v>
      </x:c>
      <x:c r="F6" s="98" t="n">
        <x:v>0.6</x:v>
      </x:c>
    </x:row>
    <x:row r="7">
      <x:c r="A7" s="96" t="str">
        <x:v>A03</x:v>
      </x:c>
      <x:c r="B7" s="96" t="str">
        <x:v>Pokritost rešitve</x:v>
      </x:c>
      <x:c r="C7" s="96" t="str">
        <x:v>%</x:v>
      </x:c>
      <x:c r="D7" s="98" t="n">
        <x:v>0.6</x:v>
      </x:c>
      <x:c r="E7" s="98" t="n">
        <x:v>0.8</x:v>
      </x:c>
      <x:c r="F7" s="98" t="n">
        <x:v>0.9</x:v>
      </x:c>
    </x:row>
    <x:row r="8">
      <x:c r="A8" s="96" t="str">
        <x:v>A04</x:v>
      </x:c>
      <x:c r="B8" s="96" t="str">
        <x:v>Sprejetje uporabnikov</x:v>
      </x:c>
      <x:c r="C8" s="96" t="str">
        <x:v>%</x:v>
      </x:c>
      <x:c r="D8" s="98" t="n">
        <x:v>0.55</x:v>
      </x:c>
      <x:c r="E8" s="98" t="n">
        <x:v>0.75</x:v>
      </x:c>
      <x:c r="F8" s="98" t="n">
        <x:v>0.88</x:v>
      </x:c>
    </x:row>
    <x:row r="9">
      <x:c r="A9" s="96" t="str">
        <x:v>A05</x:v>
      </x:c>
      <x:c r="B9" s="96" t="str">
        <x:v>Denarna realizacija</x:v>
      </x:c>
      <x:c r="C9" s="96" t="str">
        <x:v>%</x:v>
      </x:c>
      <x:c r="D9" s="98" t="n">
        <x:v>0.5</x:v>
      </x:c>
      <x:c r="E9" s="98" t="n">
        <x:v>0.7</x:v>
      </x:c>
      <x:c r="F9" s="98" t="n">
        <x:v>0.85</x:v>
      </x:c>
    </x:row>
    <x:row r="10">
      <x:c r="A10" s="96" t="str">
        <x:v>A06</x:v>
      </x:c>
      <x:c r="B10" s="96" t="str">
        <x:v>Licence/začetna naročnina</x:v>
      </x:c>
      <x:c r="C10" s="96" t="str">
        <x:v>EUR</x:v>
      </x:c>
      <x:c r="D10" s="99" t="n">
        <x:v>10000</x:v>
      </x:c>
      <x:c r="E10" s="99" t="n">
        <x:v>18000</x:v>
      </x:c>
      <x:c r="F10" s="99" t="n">
        <x:v>30000</x:v>
      </x:c>
    </x:row>
    <x:row r="11">
      <x:c r="A11" s="96" t="str">
        <x:v>A07</x:v>
      </x:c>
      <x:c r="B11" s="96" t="str">
        <x:v>Implementacija in konfiguracija</x:v>
      </x:c>
      <x:c r="C11" s="96" t="str">
        <x:v>EUR</x:v>
      </x:c>
      <x:c r="D11" s="99" t="n">
        <x:v>22000</x:v>
      </x:c>
      <x:c r="E11" s="99" t="n">
        <x:v>38000</x:v>
      </x:c>
      <x:c r="F11" s="99" t="n">
        <x:v>62000</x:v>
      </x:c>
    </x:row>
    <x:row r="12">
      <x:c r="A12" s="96" t="str">
        <x:v>A08</x:v>
      </x:c>
      <x:c r="B12" s="96" t="str">
        <x:v>Integracije in migracija</x:v>
      </x:c>
      <x:c r="C12" s="96" t="str">
        <x:v>EUR</x:v>
      </x:c>
      <x:c r="D12" s="99" t="n">
        <x:v>14000</x:v>
      </x:c>
      <x:c r="E12" s="99" t="n">
        <x:v>28000</x:v>
      </x:c>
      <x:c r="F12" s="99" t="n">
        <x:v>48000</x:v>
      </x:c>
    </x:row>
    <x:row r="13">
      <x:c r="A13" s="96" t="str">
        <x:v>A09</x:v>
      </x:c>
      <x:c r="B13" s="96" t="str">
        <x:v>Oprema</x:v>
      </x:c>
      <x:c r="C13" s="96" t="str">
        <x:v>EUR</x:v>
      </x:c>
      <x:c r="D13" s="99" t="n">
        <x:v>4000</x:v>
      </x:c>
      <x:c r="E13" s="99" t="n">
        <x:v>9000</x:v>
      </x:c>
      <x:c r="F13" s="99" t="n">
        <x:v>18000</x:v>
      </x:c>
    </x:row>
    <x:row r="14">
      <x:c r="A14" s="96" t="str">
        <x:v>A10</x:v>
      </x:c>
      <x:c r="B14" s="96" t="str">
        <x:v>Usposabljanje in notranje ure</x:v>
      </x:c>
      <x:c r="C14" s="96" t="str">
        <x:v>EUR</x:v>
      </x:c>
      <x:c r="D14" s="99" t="n">
        <x:v>7000</x:v>
      </x:c>
      <x:c r="E14" s="99" t="n">
        <x:v>14000</x:v>
      </x:c>
      <x:c r="F14" s="99" t="n">
        <x:v>24000</x:v>
      </x:c>
    </x:row>
    <x:row r="15">
      <x:c r="A15" s="96" t="str">
        <x:v>A11</x:v>
      </x:c>
      <x:c r="B15" s="96" t="str">
        <x:v>Kontingenca na začetni CAPEX</x:v>
      </x:c>
      <x:c r="C15" s="96" t="str">
        <x:v>%</x:v>
      </x:c>
      <x:c r="D15" s="98" t="n">
        <x:v>0.08</x:v>
      </x:c>
      <x:c r="E15" s="98" t="n">
        <x:v>0.12</x:v>
      </x:c>
      <x:c r="F15" s="98" t="n">
        <x:v>0.18</x:v>
      </x:c>
    </x:row>
    <x:row r="16">
      <x:c r="A16" s="96" t="str">
        <x:v>A12</x:v>
      </x:c>
      <x:c r="B16" s="96" t="str">
        <x:v>Letni tekoči TCO</x:v>
      </x:c>
      <x:c r="C16" s="96" t="str">
        <x:v>EUR/leto</x:v>
      </x:c>
      <x:c r="D16" s="99" t="n">
        <x:v>11000</x:v>
      </x:c>
      <x:c r="E16" s="99" t="n">
        <x:v>19000</x:v>
      </x:c>
      <x:c r="F16" s="99" t="n">
        <x:v>33000</x:v>
      </x:c>
    </x:row>
    <x:row r="17">
      <x:c r="A17" s="96" t="str">
        <x:v>A13</x:v>
      </x:c>
      <x:c r="B17" s="96" t="str">
        <x:v>Ramp-up koristi leto 1</x:v>
      </x:c>
      <x:c r="C17" s="96" t="str">
        <x:v>%</x:v>
      </x:c>
      <x:c r="D17" s="98" t="n">
        <x:v>0.5</x:v>
      </x:c>
      <x:c r="E17" s="98" t="n">
        <x:v>0.7</x:v>
      </x:c>
      <x:c r="F17" s="98" t="n">
        <x:v>0.82</x:v>
      </x:c>
    </x:row>
    <x:row r="18">
      <x:c r="A18" s="96" t="str">
        <x:v>A14</x:v>
      </x:c>
      <x:c r="B18" s="96" t="str">
        <x:v>Ramp-up koristi leto 2</x:v>
      </x:c>
      <x:c r="C18" s="96" t="str">
        <x:v>%</x:v>
      </x:c>
      <x:c r="D18" s="98" t="n">
        <x:v>0.9</x:v>
      </x:c>
      <x:c r="E18" s="98" t="n">
        <x:v>1</x:v>
      </x:c>
      <x:c r="F18" s="98" t="n">
        <x:v>1</x:v>
      </x:c>
    </x:row>
    <x:row r="19">
      <x:c r="A19" s="96" t="str">
        <x:v>A15</x:v>
      </x:c>
      <x:c r="B19" s="96" t="str">
        <x:v>Rast koristi leto 3</x:v>
      </x:c>
      <x:c r="C19" s="96" t="str">
        <x:v>%</x:v>
      </x:c>
      <x:c r="D19" s="98" t="n">
        <x:v>0</x:v>
      </x:c>
      <x:c r="E19" s="98" t="n">
        <x:v>0.05</x:v>
      </x:c>
      <x:c r="F19" s="98" t="n">
        <x:v>0.1</x:v>
      </x:c>
    </x:row>
    <x:row r="20">
      <x:c r="A20" s="96" t="str">
        <x:v>A16</x:v>
      </x:c>
      <x:c r="B20" s="96" t="str">
        <x:v>Diskontna mera</x:v>
      </x:c>
      <x:c r="C20" s="96" t="str">
        <x:v>%</x:v>
      </x:c>
      <x:c r="D20" s="98" t="n">
        <x:v>0.08</x:v>
      </x:c>
      <x:c r="E20" s="98" t="n">
        <x:v>0.08</x:v>
      </x:c>
      <x:c r="F20" s="98" t="n">
        <x:v>0.08</x:v>
      </x:c>
    </x:row>
    <x:row r="21">
      <x:c r="A21" s="96" t="str">
        <x:v>A17</x:v>
      </x:c>
      <x:c r="B21" s="96" t="str">
        <x:v>Enkratna sprostitev obratnega kapitala</x:v>
      </x:c>
      <x:c r="C21" s="96" t="str">
        <x:v>EUR</x:v>
      </x:c>
      <x:c r="D21" s="99" t="n">
        <x:v>20000</x:v>
      </x:c>
      <x:c r="E21" s="99" t="n">
        <x:v>50000</x:v>
      </x:c>
      <x:c r="F21" s="99" t="n">
        <x:v>100000</x:v>
      </x:c>
    </x:row>
    <x:row r="24">
      <x:c r="A24" s="101" t="str">
        <x:v>Metrika</x:v>
      </x:c>
      <x:c r="B24" s="101" t="str">
        <x:v>Opis</x:v>
      </x:c>
      <x:c r="C24" s="101" t="str">
        <x:v>Enota</x:v>
      </x:c>
      <x:c r="D24" s="101" t="str">
        <x:v>P10</x:v>
      </x:c>
      <x:c r="E24" s="101" t="str">
        <x:v>P50</x:v>
      </x:c>
      <x:c r="F24" s="101" t="str">
        <x:v>P90</x:v>
      </x:c>
    </x:row>
    <x:row r="25">
      <x:c r="A25" s="95" t="str">
        <x:v>M01</x:v>
      </x:c>
      <x:c r="B25" s="95" t="str">
        <x:v>Realizirana letna bruto korist</x:v>
      </x:c>
      <x:c r="C25" s="95" t="str">
        <x:v>EUR/leto</x:v>
      </x:c>
      <x:c r="D25" s="103" t="n">
        <x:f>D5*D6*D7*D8*D9</x:f>
        <x:v>5940.000000000001</x:v>
      </x:c>
      <x:c r="E25" s="103" t="n">
        <x:f>E5*E6*E7*E8*E9</x:f>
        <x:v>37800</x:v>
      </x:c>
      <x:c r="F25" s="103" t="n">
        <x:f>F5*F6*F7*F8*F9</x:f>
        <x:v>129254.4</x:v>
      </x:c>
    </x:row>
    <x:row r="26">
      <x:c r="A26" s="95" t="str">
        <x:v>M02</x:v>
      </x:c>
      <x:c r="B26" s="95" t="str">
        <x:v>Začetna investicija s kontingenco</x:v>
      </x:c>
      <x:c r="C26" s="95" t="str">
        <x:v>EUR</x:v>
      </x:c>
      <x:c r="D26" s="103" t="n">
        <x:f>SUM(D10:D14)*(1+D15)</x:f>
        <x:v>61560.00000000001</x:v>
      </x:c>
      <x:c r="E26" s="103" t="n">
        <x:f>SUM(E10:E14)*(1+E15)</x:f>
        <x:v>119840.00000000001</x:v>
      </x:c>
      <x:c r="F26" s="103" t="n">
        <x:f>SUM(F10:F14)*(1+F15)</x:f>
        <x:v>214760</x:v>
      </x:c>
    </x:row>
    <x:row r="27">
      <x:c r="A27" s="95" t="str">
        <x:v>M03</x:v>
      </x:c>
      <x:c r="B27" s="95" t="str">
        <x:v>Denarni tok leto 0</x:v>
      </x:c>
      <x:c r="C27" s="95" t="str">
        <x:v>EUR</x:v>
      </x:c>
      <x:c r="D27" s="103" t="n">
        <x:f>-D26</x:f>
        <x:v>-61560.00000000001</x:v>
      </x:c>
      <x:c r="E27" s="103" t="n">
        <x:f>-E26</x:f>
        <x:v>-119840.00000000001</x:v>
      </x:c>
      <x:c r="F27" s="103" t="n">
        <x:f>-F26</x:f>
        <x:v>-214760</x:v>
      </x:c>
    </x:row>
    <x:row r="28">
      <x:c r="A28" s="95" t="str">
        <x:v>M04</x:v>
      </x:c>
      <x:c r="B28" s="95" t="str">
        <x:v>Denarni tok leto 1</x:v>
      </x:c>
      <x:c r="C28" s="95" t="str">
        <x:v>EUR</x:v>
      </x:c>
      <x:c r="D28" s="103" t="n">
        <x:f>D25*D17-D16</x:f>
        <x:v>-8030</x:v>
      </x:c>
      <x:c r="E28" s="103" t="n">
        <x:f>E25*E17-E16</x:f>
        <x:v>7460</x:v>
      </x:c>
      <x:c r="F28" s="103" t="n">
        <x:f>F25*F17-F16</x:f>
        <x:v>72988.608</x:v>
      </x:c>
    </x:row>
    <x:row r="29">
      <x:c r="A29" s="95" t="str">
        <x:v>M05</x:v>
      </x:c>
      <x:c r="B29" s="95" t="str">
        <x:v>Denarni tok leto 2</x:v>
      </x:c>
      <x:c r="C29" s="95" t="str">
        <x:v>EUR</x:v>
      </x:c>
      <x:c r="D29" s="103" t="n">
        <x:f>D25*D18-D16</x:f>
        <x:v>-5653.999999999999</x:v>
      </x:c>
      <x:c r="E29" s="103" t="n">
        <x:f>E25*E18-E16</x:f>
        <x:v>18800</x:v>
      </x:c>
      <x:c r="F29" s="103" t="n">
        <x:f>F25*F18-F16</x:f>
        <x:v>96254.4</x:v>
      </x:c>
    </x:row>
    <x:row r="30">
      <x:c r="A30" s="95" t="str">
        <x:v>M06</x:v>
      </x:c>
      <x:c r="B30" s="95" t="str">
        <x:v>Denarni tok leto 3</x:v>
      </x:c>
      <x:c r="C30" s="95" t="str">
        <x:v>EUR</x:v>
      </x:c>
      <x:c r="D30" s="103" t="n">
        <x:f>D25*(1+D19)-D16</x:f>
        <x:v>-5059.999999999999</x:v>
      </x:c>
      <x:c r="E30" s="103" t="n">
        <x:f>E25*(1+E19)-E16</x:f>
        <x:v>20690</x:v>
      </x:c>
      <x:c r="F30" s="103" t="n">
        <x:f>F25*(1+F19)-F16</x:f>
        <x:v>109179.84</x:v>
      </x:c>
    </x:row>
    <x:row r="31">
      <x:c r="A31" s="106" t="str">
        <x:v>M07</x:v>
      </x:c>
      <x:c r="B31" s="106" t="str">
        <x:v>3-letni NPV brez sprostitve kapitala</x:v>
      </x:c>
      <x:c r="C31" s="106" t="str">
        <x:v>EUR</x:v>
      </x:c>
      <x:c r="D31" s="107" t="n">
        <x:f>D27+D28/(1+D20)+D29/(1+D20)^2+D30/(1+D20)^3</x:f>
        <x:v>-77859.37001473353</x:v>
      </x:c>
      <x:c r="E31" s="107" t="n">
        <x:f>E27+E28/(1+E20)+E29/(1+E20)^2+E30/(1+E20)^3</x:f>
        <x:v>-80390.23370421177</x:v>
      </x:c>
      <x:c r="F31" s="107" t="n">
        <x:f>F27+F28/(1+F20)+F29/(1+F20)^2+F30/(1+F20)^3</x:f>
        <x:v>22015.15525072391</x:v>
      </x:c>
    </x:row>
    <x:row r="32">
      <x:c r="A32" s="106" t="str">
        <x:v>M08</x:v>
      </x:c>
      <x:c r="B32" s="106" t="str">
        <x:v>3-letni NPV s sprostitvijo kapitala</x:v>
      </x:c>
      <x:c r="C32" s="106" t="str">
        <x:v>EUR</x:v>
      </x:c>
      <x:c r="D32" s="107" t="n">
        <x:f>D31+D21</x:f>
        <x:v>-57859.37001473353</x:v>
      </x:c>
      <x:c r="E32" s="107" t="n">
        <x:f>E31+E21</x:f>
        <x:v>-30390.233704211772</x:v>
      </x:c>
      <x:c r="F32" s="107" t="n">
        <x:f>F31+F21</x:f>
        <x:v>122015.15525072391</x:v>
      </x:c>
    </x:row>
    <x:row r="33">
      <x:c r="A33" s="108" t="str">
        <x:v>M09</x:v>
      </x:c>
      <x:c r="B33" s="108" t="str">
        <x:v>3-letni ROI brez sprostitve kapitala</x:v>
      </x:c>
      <x:c r="C33" s="108" t="str">
        <x:v>%</x:v>
      </x:c>
      <x:c r="D33" s="109" t="n">
        <x:f>(D28+D29+D30-D26)/(D26+3*D16)</x:f>
        <x:v>-0.849238578680203</x:v>
      </x:c>
      <x:c r="E33" s="109" t="n">
        <x:f>(E28+E29+E30-E26)/(E26+3*E16)</x:f>
        <x:v>-0.41218050214883517</x:v>
      </x:c>
      <x:c r="F33" s="109" t="n">
        <x:f>(F28+F29+F30-F26)/(F26+3*F16)</x:f>
        <x:v>0.2029030086690464</x:v>
      </x:c>
    </x:row>
    <x:row r="34">
      <x:c r="A34" s="108" t="str">
        <x:v>M10</x:v>
      </x:c>
      <x:c r="B34" s="108" t="str">
        <x:v>Stabilizirani payback</x:v>
      </x:c>
      <x:c r="C34" s="108" t="str">
        <x:v>meseci</x:v>
      </x:c>
      <x:c r="D34" s="110" t="n">
        <x:f>IF(D25-D16&lt;=0,0,D26/((D25-D16)/12))</x:f>
        <x:v>0</x:v>
      </x:c>
      <x:c r="E34" s="110" t="n">
        <x:f>IF(E25-E16&lt;=0,0,E26/((E25-E16)/12))</x:f>
        <x:v>76.4936170212766</x:v>
      </x:c>
      <x:c r="F34" s="110" t="n">
        <x:f>IF(F25-F16&lt;=0,0,F26/((F25-F16)/12))</x:f>
        <x:v>26.774048770757492</x:v>
      </x:c>
    </x:row>
    <x:row r="35">
      <x:c r="A35" s="95" t="str">
        <x:v>M11</x:v>
      </x:c>
      <x:c r="B35" s="95" t="str">
        <x:v>Kumulativni 3-letni neto cash flow</x:v>
      </x:c>
      <x:c r="C35" s="95" t="str">
        <x:v>EUR</x:v>
      </x:c>
      <x:c r="D35" s="103" t="n">
        <x:f>SUM(D27:D30)</x:f>
        <x:v>-80304</x:v>
      </x:c>
      <x:c r="E35" s="103" t="n">
        <x:f>SUM(E27:E30)</x:f>
        <x:v>-72890.00000000001</x:v>
      </x:c>
      <x:c r="F35" s="103" t="n">
        <x:f>SUM(F27:F30)</x:f>
        <x:v>63662.848</x:v>
      </x:c>
    </x:row>
    <x:row r="38">
      <x:c r="A38" s="129" t="str">
        <x:v>Interpretacija: sprostitev obratnega kapitala je prikazana ločeno in ni vključena v osnovni ROI. Stabilizirani payback uporablja polno letno korist; pri odločanju upoštevajte tudi fazni kumulativni cash flow. P90 je optimističen scenarij, ne obljuba.</x:v>
      </x:c>
      <x:c r="B38" s="130"/>
      <x:c r="C38" s="130"/>
      <x:c r="D38" s="130"/>
      <x:c r="E38" s="130"/>
      <x:c r="F38" s="131"/>
    </x:row>
    <x:row r="39">
      <x:c r="A39" s="132"/>
      <x:c r="B39" s="133"/>
      <x:c r="C39" s="133"/>
      <x:c r="D39" s="133"/>
      <x:c r="E39" s="133"/>
      <x:c r="F39" s="134"/>
    </x:row>
    <x:row r="40">
      <x:c r="A40" s="135"/>
      <x:c r="B40" s="136"/>
      <x:c r="C40" s="136"/>
      <x:c r="D40" s="136"/>
      <x:c r="E40" s="136"/>
      <x:c r="F40" s="137"/>
    </x:row>
  </x:sheetData>
  <x:mergeCells>
    <x:mergeCell ref="A1:F1"/>
    <x:mergeCell ref="A2:F2"/>
    <x:mergeCell ref="A38:F40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8" hidden="0" customWidth="1"/>
    <x:col min="3" max="3" width="18" hidden="0" customWidth="1"/>
    <x:col min="4" max="4" width="18" hidden="0" customWidth="1"/>
    <x:col min="5" max="5" width="50" hidden="0" customWidth="1"/>
  </x:cols>
  <x:sheetData>
    <x:row r="1" ht="34" customHeight="1">
      <x:c r="A1" s="4" t="str">
        <x:v>Kontrole kakovosti</x:v>
      </x:c>
      <x:c r="B1" s="4"/>
      <x:c r="C1" s="4"/>
      <x:c r="D1" s="4"/>
      <x:c r="E1" s="4"/>
    </x:row>
    <x:row r="2" ht="31" customHeight="1">
      <x:c r="A2" s="8" t="str">
        <x:v>Formula preveri logiko scenarijev; dodatna tehnična validacija išče Excel napake in vizualne pomanjkljivosti.</x:v>
      </x:c>
      <x:c r="B2" s="8"/>
      <x:c r="C2" s="8"/>
      <x:c r="D2" s="8"/>
      <x:c r="E2" s="8"/>
    </x:row>
    <x:row r="4">
      <x:c r="A4" s="93" t="str">
        <x:v>ID</x:v>
      </x:c>
      <x:c r="B4" s="93" t="str">
        <x:v>Kontrola</x:v>
      </x:c>
      <x:c r="C4" s="93" t="str">
        <x:v>Vrednost</x:v>
      </x:c>
      <x:c r="D4" s="93" t="str">
        <x:v>Status</x:v>
      </x:c>
      <x:c r="E4" s="93" t="str">
        <x:v>Pomen</x:v>
      </x:c>
    </x:row>
    <x:row r="5">
      <x:c r="A5" s="96" t="str">
        <x:v>CHK-01</x:v>
      </x:c>
      <x:c r="B5" s="96" t="str">
        <x:v>P10 &lt;= P50 &lt;= P90 za baseline</x:v>
      </x:c>
      <x:c r="C5" s="138" t="n">
        <x:f>IF(AND('18_ROI_model'!D5&lt;='18_ROI_model'!E5,'18_ROI_model'!E5&lt;='18_ROI_model'!F5),1,0)</x:f>
        <x:v>1</x:v>
      </x:c>
      <x:c r="D5" s="138" t="str">
        <x:f>IF(C5=1,"OK","NAPAKA")</x:f>
        <x:v>OK</x:v>
      </x:c>
      <x:c r="E5" s="96" t="str">
        <x:v>scenarijska urejenost</x:v>
      </x:c>
    </x:row>
    <x:row r="6">
      <x:c r="A6" s="96" t="str">
        <x:v>CHK-02</x:v>
      </x:c>
      <x:c r="B6" s="96" t="str">
        <x:v>Vsi faktorji realizacije &lt;= 100 %</x:v>
      </x:c>
      <x:c r="C6" s="138" t="n">
        <x:f>IF(MAX('18_ROI_model'!D6:F9)&lt;=1,1,0)</x:f>
        <x:v>1</x:v>
      </x:c>
      <x:c r="D6" s="138" t="str">
        <x:f>IF(C6=1,"OK","NAPAKA")</x:f>
        <x:v>OK</x:v>
      </x:c>
      <x:c r="E6" s="96" t="str">
        <x:v>faktorji ne presegajo 1</x:v>
      </x:c>
    </x:row>
    <x:row r="7">
      <x:c r="A7" s="96" t="str">
        <x:v>CHK-03</x:v>
      </x:c>
      <x:c r="B7" s="96" t="str">
        <x:v>Realizirana korist &lt;= baseline izgube</x:v>
      </x:c>
      <x:c r="C7" s="138" t="n">
        <x:f>IF(MAX('18_ROI_model'!D25:F25)&lt;='18_ROI_model'!F5,1,0)</x:f>
        <x:v>1</x:v>
      </x:c>
      <x:c r="D7" s="138" t="str">
        <x:f>IF(C7=1,"OK","NAPAKA")</x:f>
        <x:v>OK</x:v>
      </x:c>
      <x:c r="E7" s="96" t="str">
        <x:v>benefit ne preseže naslovljive izgube</x:v>
      </x:c>
    </x:row>
    <x:row r="8">
      <x:c r="A8" s="96" t="str">
        <x:v>CHK-04</x:v>
      </x:c>
      <x:c r="B8" s="96" t="str">
        <x:v>ICP uteži = 100</x:v>
      </x:c>
      <x:c r="C8" s="138" t="n">
        <x:f>SUM('13_ICP_score'!C5:C15)</x:f>
        <x:v>100</x:v>
      </x:c>
      <x:c r="D8" s="138" t="str">
        <x:f>IF(C8=100,"OK","NAPAKA")</x:f>
        <x:v>OK</x:v>
      </x:c>
      <x:c r="E8" s="96" t="str">
        <x:v>popolnost scoringa</x:v>
      </x:c>
    </x:row>
    <x:row r="9">
      <x:c r="A9" s="96" t="str">
        <x:v>CHK-05</x:v>
      </x:c>
      <x:c r="B9" s="96" t="str">
        <x:v>Virov = 44</x:v>
      </x:c>
      <x:c r="C9" s="138" t="n">
        <x:f>COUNTA('16_Viri'!A5:A48)</x:f>
        <x:v>44</x:v>
      </x:c>
      <x:c r="D9" s="138" t="str">
        <x:f>IF(C9=44,"OK","NAPAKA")</x:f>
        <x:v>OK</x:v>
      </x:c>
      <x:c r="E9" s="96" t="str">
        <x:v>sledljivost</x:v>
      </x:c>
    </x:row>
    <x:row r="10">
      <x:c r="A10" s="96" t="str">
        <x:v>CHK-06</x:v>
      </x:c>
      <x:c r="B10" s="96" t="str">
        <x:v>Procesov = 28</x:v>
      </x:c>
      <x:c r="C10" s="138" t="n">
        <x:f>COUNTA('03_Procesi'!A5:A32)</x:f>
        <x:v>28</x:v>
      </x:c>
      <x:c r="D10" s="138" t="str">
        <x:f>IF(C10=28,"OK","NAPAKA")</x:f>
        <x:v>OK</x:v>
      </x:c>
      <x:c r="E10" s="96" t="str">
        <x:v>popolnost procesnega kataloga</x:v>
      </x:c>
    </x:row>
    <x:row r="11">
      <x:c r="A11" s="96" t="str">
        <x:v>CHK-07</x:v>
      </x:c>
      <x:c r="B11" s="96" t="str">
        <x:v>P50 NPV je numeričen</x:v>
      </x:c>
      <x:c r="C11" s="138" t="n">
        <x:f>COUNT('18_ROI_model'!E31)</x:f>
        <x:v>1</x:v>
      </x:c>
      <x:c r="D11" s="138" t="str">
        <x:f>IF(C11=1,"OK","NAPAKA")</x:f>
        <x:v>OK</x:v>
      </x:c>
      <x:c r="E11" s="96" t="str">
        <x:v>izračun formula motorja</x:v>
      </x:c>
    </x:row>
    <x:row r="12">
      <x:c r="A12" s="96" t="str">
        <x:v>CHK-08</x:v>
      </x:c>
      <x:c r="B12" s="96" t="str">
        <x:v>P50 payback &gt; 0</x:v>
      </x:c>
      <x:c r="C12" s="138" t="n">
        <x:f>IF('18_ROI_model'!E34&gt;0,1,0)</x:f>
        <x:v>1</x:v>
      </x:c>
      <x:c r="D12" s="138" t="str">
        <x:f>IF(C12=1,"OK","NAPAKA")</x:f>
        <x:v>OK</x:v>
      </x:c>
      <x:c r="E12" s="96" t="str">
        <x:v>smiselna stabilizirana korist</x:v>
      </x:c>
    </x:row>
  </x:sheetData>
  <x:mergeCells>
    <x:mergeCell ref="A1:E1"/>
    <x:mergeCell ref="A2:E2"/>
  </x:mergeCells>
  <x:pageMargins left="0.7" right="0.7" top="0.75" bottom="0.75" header="0.3" footer="0.3"/>
</x:worksheet>
</file>