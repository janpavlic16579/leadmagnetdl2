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janpavlic/Documents/Datalab/reports/GPT baza znanja/storitve/"/>
    </mc:Choice>
  </mc:AlternateContent>
  <xr:revisionPtr revIDLastSave="0" documentId="13_ncr:1_{151E1D0F-3969-7F41-BB3D-394F171F5F6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ADME" sheetId="1" r:id="rId1"/>
    <sheet name="Market" sheetId="2" r:id="rId2"/>
    <sheet name="Archetypes" sheetId="3" r:id="rId3"/>
    <sheet name="Personas" sheetId="4" r:id="rId4"/>
    <sheet name="Processes" sheetId="5" r:id="rId5"/>
    <sheet name="ICP_Scoring" sheetId="10" r:id="rId6"/>
    <sheet name="Pain_Groups" sheetId="6" r:id="rId7"/>
    <sheet name="KPIs" sheetId="7" r:id="rId8"/>
    <sheet name="Benchmarks" sheetId="8" r:id="rId9"/>
    <sheet name="PANTHEON" sheetId="9" r:id="rId10"/>
    <sheet name="Questions" sheetId="11" r:id="rId11"/>
    <sheet name="Maturity" sheetId="12" r:id="rId12"/>
    <sheet name="TCO" sheetId="13" r:id="rId13"/>
    <sheet name="Sources" sheetId="14" r:id="rId14"/>
    <sheet name="Open_Gaps" sheetId="15" r:id="rId15"/>
    <sheet name="Check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6" l="1"/>
  <c r="D15" i="16" s="1"/>
  <c r="C14" i="16"/>
  <c r="D14" i="16" s="1"/>
  <c r="C13" i="16"/>
  <c r="D13" i="16" s="1"/>
  <c r="C12" i="16"/>
  <c r="D12" i="16" s="1"/>
  <c r="C11" i="16"/>
  <c r="D11" i="16" s="1"/>
  <c r="C10" i="16"/>
  <c r="D10" i="16" s="1"/>
  <c r="C9" i="16"/>
  <c r="D9" i="16" s="1"/>
  <c r="C8" i="16"/>
  <c r="D8" i="16" s="1"/>
  <c r="C7" i="16"/>
  <c r="D7" i="16" s="1"/>
  <c r="C6" i="16"/>
  <c r="D6" i="16" s="1"/>
  <c r="C5" i="16"/>
  <c r="D5" i="16" s="1"/>
  <c r="C4" i="16"/>
  <c r="D4" i="16" s="1"/>
  <c r="C3" i="16"/>
  <c r="D3" i="16" s="1"/>
  <c r="C2" i="16"/>
  <c r="D2" i="16" s="1"/>
  <c r="G5" i="2"/>
  <c r="G4" i="2"/>
  <c r="G3" i="2"/>
  <c r="G2" i="2"/>
</calcChain>
</file>

<file path=xl/sharedStrings.xml><?xml version="1.0" encoding="utf-8"?>
<sst xmlns="http://schemas.openxmlformats.org/spreadsheetml/2006/main" count="1440" uniqueCount="1055">
  <si>
    <t>Storitvene in projektne dejavnosti
Strukturirani raziskovalni registri</t>
  </si>
  <si>
    <t>Različica</t>
  </si>
  <si>
    <t>1.0</t>
  </si>
  <si>
    <t>Datum raziskave</t>
  </si>
  <si>
    <t>2026-08-07</t>
  </si>
  <si>
    <t>Primarni trg</t>
  </si>
  <si>
    <t>Slovenija</t>
  </si>
  <si>
    <t>Primarni ICP</t>
  </si>
  <si>
    <t>B2B storitvena in projektna podjetja z 20-500 zaposlenimi</t>
  </si>
  <si>
    <t>Namen</t>
  </si>
  <si>
    <t>Stabilni ID-ji za kalkulator, RAG, diagnostični vprašalnik, ICP scoring in priporočilni engine.</t>
  </si>
  <si>
    <t>Pomembno</t>
  </si>
  <si>
    <t>Benchmarki so orientacijske referenčne točke, ne avtomatske ciljne vrednosti.</t>
  </si>
  <si>
    <t>Uporaba</t>
  </si>
  <si>
    <t>Filtrirajte registre po ID-jih; benchmark vedno preverite glede vzorca, leta, geografije in definicije.</t>
  </si>
  <si>
    <t>id</t>
  </si>
  <si>
    <t>SKD/NACE</t>
  </si>
  <si>
    <t>Podjetja</t>
  </si>
  <si>
    <t>Zaposleni in samozaposleni</t>
  </si>
  <si>
    <t>Neto promet (mio EUR)</t>
  </si>
  <si>
    <t>Dodana vrednost (mio EUR)</t>
  </si>
  <si>
    <t>Dodana vrednost na osebo (EUR)</t>
  </si>
  <si>
    <t>MKT-001</t>
  </si>
  <si>
    <t>J Informacijske in komunikacijske dejavnosti</t>
  </si>
  <si>
    <t>MKT-002</t>
  </si>
  <si>
    <t>M Strokovne, znanstvene in tehnične dejavnosti</t>
  </si>
  <si>
    <t>MKT-003</t>
  </si>
  <si>
    <t>N Druge raznovrstne poslovne dejavnosti</t>
  </si>
  <si>
    <t>MKT-004</t>
  </si>
  <si>
    <t>Skupaj J+M+N</t>
  </si>
  <si>
    <t>Arhetip</t>
  </si>
  <si>
    <t>Jedrna ekonomika</t>
  </si>
  <si>
    <t>Največji problemi</t>
  </si>
  <si>
    <t>Najboljši Datalab vstop</t>
  </si>
  <si>
    <t>ID</t>
  </si>
  <si>
    <t>ARC-01</t>
  </si>
  <si>
    <t>Svetovalno podjetje</t>
  </si>
  <si>
    <t>ure, fiksni projekt, retainer</t>
  </si>
  <si>
    <t>utilization, scope creep, realizacija</t>
  </si>
  <si>
    <t>finance, čas, projektni stroški, DMS; PSA partner</t>
  </si>
  <si>
    <t>ARC-02</t>
  </si>
  <si>
    <t>Kreativna/marketinška agencija</t>
  </si>
  <si>
    <t>retainer in projekti</t>
  </si>
  <si>
    <t>over-servicing, rework, nejasna marža</t>
  </si>
  <si>
    <t>čas, stroški, periodični računi, BI; CRM/PM integracija</t>
  </si>
  <si>
    <t>ARC-03</t>
  </si>
  <si>
    <t>Arhitektura/projektiranje</t>
  </si>
  <si>
    <t>projekt, faza, mejnik</t>
  </si>
  <si>
    <t>napačna ocena, spremembe, WIP</t>
  </si>
  <si>
    <t>stroškovna mesta/projekti, DMS, potni stroški, računi</t>
  </si>
  <si>
    <t>ARC-04</t>
  </si>
  <si>
    <t>Inženiring</t>
  </si>
  <si>
    <t>projekt + material + podizvajalci</t>
  </si>
  <si>
    <t>nabava, field data, stroški, EAC</t>
  </si>
  <si>
    <t>finance, nabava, skladišče, servis, DMS</t>
  </si>
  <si>
    <t>ARC-05</t>
  </si>
  <si>
    <t>IT razvoj</t>
  </si>
  <si>
    <t>čas/material ali fiksni sprint/projekt</t>
  </si>
  <si>
    <t>bench, spremembe, rework, obračun</t>
  </si>
  <si>
    <t>čas, stroški, ponavljajoči računi; PSA/ALM integracija</t>
  </si>
  <si>
    <t>ARC-06</t>
  </si>
  <si>
    <t>Sistemski integrator</t>
  </si>
  <si>
    <t>projekt + licence/oprema + podpora</t>
  </si>
  <si>
    <t>več tokov marže, podizvajalci, renewal</t>
  </si>
  <si>
    <t>prodaja/nabava, zaloga, projektna analitika, periodični obračun</t>
  </si>
  <si>
    <t>ARC-07</t>
  </si>
  <si>
    <t>MSP/managed services</t>
  </si>
  <si>
    <t>mesečna pogodba + projekti</t>
  </si>
  <si>
    <t>ticket cost, presežene ure, SLA, churn</t>
  </si>
  <si>
    <t>pogodbe/računi/terjatve; ITSM/PSA integracija</t>
  </si>
  <si>
    <t>ARC-08</t>
  </si>
  <si>
    <t>Terenski servis</t>
  </si>
  <si>
    <t>poseg + čas + pot + material</t>
  </si>
  <si>
    <t>dispečiranje, FTFR, papir, zamuda računa</t>
  </si>
  <si>
    <t>Granula Servis na terenu</t>
  </si>
  <si>
    <t>ARC-09</t>
  </si>
  <si>
    <t>Montažno-tehnični izvajalec</t>
  </si>
  <si>
    <t>fiksni projekt + material</t>
  </si>
  <si>
    <t>plan, material, prevzem, podizvajalci</t>
  </si>
  <si>
    <t>delovni/servisni nalogi, skladišče, potni nalogi, DMS</t>
  </si>
  <si>
    <t>ARC-10</t>
  </si>
  <si>
    <t>Staffing/body leasing</t>
  </si>
  <si>
    <t>potrjene ure x tarifa</t>
  </si>
  <si>
    <t>neodobrene ure, bench, plača-tarifa</t>
  </si>
  <si>
    <t>čas, kadri, plače, pogodbe, račun</t>
  </si>
  <si>
    <t>ARC-11</t>
  </si>
  <si>
    <t>Facility/outsourced services</t>
  </si>
  <si>
    <t>lokacija, pogodba, SLA</t>
  </si>
  <si>
    <t>razporedi, prisotnost, kakovost, penal</t>
  </si>
  <si>
    <t>kadri, čas, stroški, periodični računi; FSM partner</t>
  </si>
  <si>
    <t>ARC-12</t>
  </si>
  <si>
    <t>Izobraževanja/dogodki</t>
  </si>
  <si>
    <t>dogodek, udeleženec, paket</t>
  </si>
  <si>
    <t>kapaciteta, odpovedi, stroški dogodka</t>
  </si>
  <si>
    <t>finance, dokumenti, obveščanje; booking/CRM integracija</t>
  </si>
  <si>
    <t>Persona</t>
  </si>
  <si>
    <t>Primarni cilj</t>
  </si>
  <si>
    <t>Kaj jo boli</t>
  </si>
  <si>
    <t>Kaj potrebuje od sistema</t>
  </si>
  <si>
    <t>Nakupna vloga</t>
  </si>
  <si>
    <t>PER-001</t>
  </si>
  <si>
    <t>Lastnik/direktor</t>
  </si>
  <si>
    <t>rast in denar brez izgube nadzora</t>
  </si>
  <si>
    <t>»promet raste, denarja in marže pa ne vidim«</t>
  </si>
  <si>
    <t>enoten pogled, zgodnji alarmi</t>
  </si>
  <si>
    <t>odločevalec/sponzor</t>
  </si>
  <si>
    <t>PER-002</t>
  </si>
  <si>
    <t>COO/vodja izvedbe</t>
  </si>
  <si>
    <t>zanesljiva izvedba</t>
  </si>
  <si>
    <t>stalno preplaniranje in eskalacije</t>
  </si>
  <si>
    <t>portfelj, kapaciteta, odgovornosti</t>
  </si>
  <si>
    <t>sponzor</t>
  </si>
  <si>
    <t>PER-003</t>
  </si>
  <si>
    <t>CFO/finance</t>
  </si>
  <si>
    <t>marža, račun, denar, skladnost</t>
  </si>
  <si>
    <t>pozni in sporni računi, neznan WIP</t>
  </si>
  <si>
    <t>finance, projektni P&amp;L, DSO</t>
  </si>
  <si>
    <t>ekonomski kupec</t>
  </si>
  <si>
    <t>PER-004</t>
  </si>
  <si>
    <t>Prodaja/BD</t>
  </si>
  <si>
    <t>hitre in konkurenčne ponudbe</t>
  </si>
  <si>
    <t>čakanje na ocene, izgubljen kontekst</t>
  </si>
  <si>
    <t>CRM/CPQ in pravila cen</t>
  </si>
  <si>
    <t>vplivnež</t>
  </si>
  <si>
    <t>PER-005</t>
  </si>
  <si>
    <t>Estimator/presales</t>
  </si>
  <si>
    <t>realna ocena</t>
  </si>
  <si>
    <t>slabi zgodovinski podatki</t>
  </si>
  <si>
    <t>predloge, stroški, pretekla realizacija</t>
  </si>
  <si>
    <t>uporabnik</t>
  </si>
  <si>
    <t>PER-006</t>
  </si>
  <si>
    <t>PMO</t>
  </si>
  <si>
    <t>standard in portfelj</t>
  </si>
  <si>
    <t>različne metode in statusi</t>
  </si>
  <si>
    <t>standardni projekti, stage gates</t>
  </si>
  <si>
    <t>lastnik procesa</t>
  </si>
  <si>
    <t>PER-007</t>
  </si>
  <si>
    <t>Projektni vodja</t>
  </si>
  <si>
    <t>rok, obseg, proračun</t>
  </si>
  <si>
    <t>ure in stroški pridejo prepozno</t>
  </si>
  <si>
    <t>budget-actual-EAC, change log</t>
  </si>
  <si>
    <t>ključni uporabnik</t>
  </si>
  <si>
    <t>PER-008</t>
  </si>
  <si>
    <t>Resource manager</t>
  </si>
  <si>
    <t>prava oseba ob pravem času</t>
  </si>
  <si>
    <t>nepregledne kapacitete in znanja</t>
  </si>
  <si>
    <t>razpoložljivost, skills, forecast</t>
  </si>
  <si>
    <t>PER-009</t>
  </si>
  <si>
    <t>Vodja servisa</t>
  </si>
  <si>
    <t>SLA, kakovost, produktivnost</t>
  </si>
  <si>
    <t>napačen tehnik/material, ponovni obiski</t>
  </si>
  <si>
    <t>dispatch, asset history, FTFR</t>
  </si>
  <si>
    <t>sponzor/uporabnik</t>
  </si>
  <si>
    <t>PER-010</t>
  </si>
  <si>
    <t>Dispečer</t>
  </si>
  <si>
    <t>izvedljiv dnevni plan</t>
  </si>
  <si>
    <t>telefonsko usklajevanje</t>
  </si>
  <si>
    <t>lokacije, urniki, prioritete</t>
  </si>
  <si>
    <t>PER-011</t>
  </si>
  <si>
    <t>Izvajalec/tehnik</t>
  </si>
  <si>
    <t>čim manj administracije</t>
  </si>
  <si>
    <t>dvojni vnos in nejasna navodila</t>
  </si>
  <si>
    <t>mobilni vnos, dokumenti, offline</t>
  </si>
  <si>
    <t>uporabnik/možen blokator</t>
  </si>
  <si>
    <t>PER-012</t>
  </si>
  <si>
    <t>Obračun</t>
  </si>
  <si>
    <t>pravilen račun pravočasno</t>
  </si>
  <si>
    <t>manjkajoče ure, zapisniki, naročilnice</t>
  </si>
  <si>
    <t>billing readiness in kontrole</t>
  </si>
  <si>
    <t>PER-013</t>
  </si>
  <si>
    <t>Terjatve</t>
  </si>
  <si>
    <t>hitrejše plačilo</t>
  </si>
  <si>
    <t>nejasni spori in slaba prioritizacija</t>
  </si>
  <si>
    <t>aging, razlogi spora, workflow</t>
  </si>
  <si>
    <t>PER-014</t>
  </si>
  <si>
    <t>HR</t>
  </si>
  <si>
    <t>kapaciteta, odsotnosti, znanja</t>
  </si>
  <si>
    <t>nepovezani podatki o ljudeh</t>
  </si>
  <si>
    <t>kadri, čas, kompetence</t>
  </si>
  <si>
    <t>PER-015</t>
  </si>
  <si>
    <t>IT</t>
  </si>
  <si>
    <t>stabilnost, varnost, integracije</t>
  </si>
  <si>
    <t>razdrobljen stack in shadow IT</t>
  </si>
  <si>
    <t>arhitektura, API, avtorizacije</t>
  </si>
  <si>
    <t>vratar</t>
  </si>
  <si>
    <t>Proces</t>
  </si>
  <si>
    <t>Minimalni podatki</t>
  </si>
  <si>
    <t>Ključni KPI</t>
  </si>
  <si>
    <t>Tipična napaka</t>
  </si>
  <si>
    <t>PROC-01</t>
  </si>
  <si>
    <t>segmentacija in kvalifikacija</t>
  </si>
  <si>
    <t>stranka, potreba, fit, verjetnost</t>
  </si>
  <si>
    <t>qualified win rate</t>
  </si>
  <si>
    <t>prodaja neustreznega posla</t>
  </si>
  <si>
    <t>PROC-02</t>
  </si>
  <si>
    <t>ocena obsega</t>
  </si>
  <si>
    <t>deliverables, predpostavke, WBS, ure, stroški</t>
  </si>
  <si>
    <t>estimate accuracy</t>
  </si>
  <si>
    <t>optimistična ocena</t>
  </si>
  <si>
    <t>PROC-03</t>
  </si>
  <si>
    <t>priprava ponudbe</t>
  </si>
  <si>
    <t>cena, model, roki, izključitve</t>
  </si>
  <si>
    <t>proposal turnaround</t>
  </si>
  <si>
    <t>ročno sestavljanje</t>
  </si>
  <si>
    <t>PROC-04</t>
  </si>
  <si>
    <t>pogodba/SLA</t>
  </si>
  <si>
    <t>obseg, tarifa, mejniki, SLA, dokazila</t>
  </si>
  <si>
    <t>contract cycle time</t>
  </si>
  <si>
    <t>manjkajoče komercialne kontrole</t>
  </si>
  <si>
    <t>PROC-05</t>
  </si>
  <si>
    <t>predaja prodaja-izvedba</t>
  </si>
  <si>
    <t>zaveze, ocena, tveganja, kontakti</t>
  </si>
  <si>
    <t>handoff completeness</t>
  </si>
  <si>
    <t>izguba konteksta</t>
  </si>
  <si>
    <t>PROC-06</t>
  </si>
  <si>
    <t>postavitev projekta/naloga</t>
  </si>
  <si>
    <t>pogodba, WBS, proračun, tarife</t>
  </si>
  <si>
    <t>setup lead time</t>
  </si>
  <si>
    <t>projekt brez baselinea</t>
  </si>
  <si>
    <t>PROC-07</t>
  </si>
  <si>
    <t>plan kapacitet</t>
  </si>
  <si>
    <t>demand, FTE, odsotnosti, skills</t>
  </si>
  <si>
    <t>forecast accuracy</t>
  </si>
  <si>
    <t>plan samo po osebah, ne po znanjih</t>
  </si>
  <si>
    <t>PROC-08</t>
  </si>
  <si>
    <t>razporejanje</t>
  </si>
  <si>
    <t>prioriteta, lokacija, skills, rok</t>
  </si>
  <si>
    <t>schedule adherence</t>
  </si>
  <si>
    <t>ročno preplaniranje</t>
  </si>
  <si>
    <t>PROC-09</t>
  </si>
  <si>
    <t>izvedba</t>
  </si>
  <si>
    <t>naloge, status, dokazi</t>
  </si>
  <si>
    <t>on-time delivery</t>
  </si>
  <si>
    <t>status po občutku</t>
  </si>
  <si>
    <t>PROC-10</t>
  </si>
  <si>
    <t>časovnice</t>
  </si>
  <si>
    <t>oseba, projekt, naloga, billable flag</t>
  </si>
  <si>
    <t>on-time timesheets</t>
  </si>
  <si>
    <t>tedenska rekonstrukcija</t>
  </si>
  <si>
    <t>PROC-11</t>
  </si>
  <si>
    <t>stroški in poti</t>
  </si>
  <si>
    <t>projekt, kategorija, dokazilo</t>
  </si>
  <si>
    <t>expense capture rate</t>
  </si>
  <si>
    <t>račun brez projekta</t>
  </si>
  <si>
    <t>PROC-12</t>
  </si>
  <si>
    <t>material in rezervni deli</t>
  </si>
  <si>
    <t>nalog, količina, serija, cena</t>
  </si>
  <si>
    <t>material capture</t>
  </si>
  <si>
    <t>nepopisana poraba</t>
  </si>
  <si>
    <t>PROC-13</t>
  </si>
  <si>
    <t>podizvajalci</t>
  </si>
  <si>
    <t>pogodba, PO, ura/deliverable, račun</t>
  </si>
  <si>
    <t>subcontractor variance</t>
  </si>
  <si>
    <t>strošek brez povezave z prihodkom</t>
  </si>
  <si>
    <t>PROC-14</t>
  </si>
  <si>
    <t>sprememba obsega</t>
  </si>
  <si>
    <t>zahteva, vpliv, odobritev, cena</t>
  </si>
  <si>
    <t>change capture rate</t>
  </si>
  <si>
    <t>delo pred odobritvijo</t>
  </si>
  <si>
    <t>PROC-15</t>
  </si>
  <si>
    <t>kakovost/rework</t>
  </si>
  <si>
    <t>napaka, vzrok, ure, strošek</t>
  </si>
  <si>
    <t>rework rate</t>
  </si>
  <si>
    <t>popravki skriti v projektu</t>
  </si>
  <si>
    <t>PROC-16</t>
  </si>
  <si>
    <t>prevzem</t>
  </si>
  <si>
    <t>dokaz, podpis, datum, izjeme</t>
  </si>
  <si>
    <t>acceptance cycle</t>
  </si>
  <si>
    <t>manjkajoč zapisnik</t>
  </si>
  <si>
    <t>PROC-17</t>
  </si>
  <si>
    <t>billing readiness</t>
  </si>
  <si>
    <t>ure, stroški, mejniki, PO, prevzem</t>
  </si>
  <si>
    <t>ready-to-bill lag</t>
  </si>
  <si>
    <t>finance lovi dokazila</t>
  </si>
  <si>
    <t>PROC-18</t>
  </si>
  <si>
    <t>obračun</t>
  </si>
  <si>
    <t>tarife, pravila, davki, valuta</t>
  </si>
  <si>
    <t>billing accuracy</t>
  </si>
  <si>
    <t>napačna tarifa ali DDV</t>
  </si>
  <si>
    <t>PROC-19</t>
  </si>
  <si>
    <t>periodični račun</t>
  </si>
  <si>
    <t>aktivna pogodba, indeksacija, poraba</t>
  </si>
  <si>
    <t>contract billing completeness</t>
  </si>
  <si>
    <t>zamujena obnovitev ali indeksacija</t>
  </si>
  <si>
    <t>PROC-20</t>
  </si>
  <si>
    <t>WIP</t>
  </si>
  <si>
    <t>datum izvedbe, razlog zadržanja</t>
  </si>
  <si>
    <t>WIP days</t>
  </si>
  <si>
    <t>dokončano brez računa</t>
  </si>
  <si>
    <t>PROC-21</t>
  </si>
  <si>
    <t>terjatve</t>
  </si>
  <si>
    <t>račun, zapadlost, spor, obljuba</t>
  </si>
  <si>
    <t>DSO/overdue share</t>
  </si>
  <si>
    <t>generični opomini</t>
  </si>
  <si>
    <t>PROC-22</t>
  </si>
  <si>
    <t>projektni P&amp;L in EAC</t>
  </si>
  <si>
    <t>prihodki, stroški, forecast</t>
  </si>
  <si>
    <t>forecast margin variance</t>
  </si>
  <si>
    <t>marža znana po zaključku</t>
  </si>
  <si>
    <t>PROC-23</t>
  </si>
  <si>
    <t>zaključek/lessons learned</t>
  </si>
  <si>
    <t>baseline, rezultat, vzroki</t>
  </si>
  <si>
    <t>closure cycle</t>
  </si>
  <si>
    <t>znanje se ne vrne v oceno</t>
  </si>
  <si>
    <t>PROC-24</t>
  </si>
  <si>
    <t>zahtevek/SLA</t>
  </si>
  <si>
    <t>pogodba, prioriteta, časovniki</t>
  </si>
  <si>
    <t>SLA compliance</t>
  </si>
  <si>
    <t>napačna prioriteta</t>
  </si>
  <si>
    <t>PROC-25</t>
  </si>
  <si>
    <t>podaljšanje pogodbe</t>
  </si>
  <si>
    <t>datum, uporaba, marža, zadovoljstvo</t>
  </si>
  <si>
    <t>renewal rate</t>
  </si>
  <si>
    <t>reaktivna obnova</t>
  </si>
  <si>
    <t>PROC-26</t>
  </si>
  <si>
    <t>servisni sprejem/diagnoza</t>
  </si>
  <si>
    <t>asset, simptom, zgodovina</t>
  </si>
  <si>
    <t>remote resolution</t>
  </si>
  <si>
    <t>premalo informacij</t>
  </si>
  <si>
    <t>PROC-27</t>
  </si>
  <si>
    <t>dispatch in pot</t>
  </si>
  <si>
    <t>skills, deli, lokacija, okno</t>
  </si>
  <si>
    <t>travel ratio</t>
  </si>
  <si>
    <t>napačen tehnik ali del</t>
  </si>
  <si>
    <t>PROC-28</t>
  </si>
  <si>
    <t>mobilni zaključek</t>
  </si>
  <si>
    <t>čas, material, podpis, slike</t>
  </si>
  <si>
    <t>same-day closure</t>
  </si>
  <si>
    <t>papirni nalog</t>
  </si>
  <si>
    <t>PROC-29</t>
  </si>
  <si>
    <t>analiza storitvene baze</t>
  </si>
  <si>
    <t>asset, pogodba, stroški, prihodki</t>
  </si>
  <si>
    <t>margin per contract/asset</t>
  </si>
  <si>
    <t>dobičkonosnost ni vidna</t>
  </si>
  <si>
    <t>Double-count skupina</t>
  </si>
  <si>
    <t>Bolečina</t>
  </si>
  <si>
    <t>Primarni finančni učinek</t>
  </si>
  <si>
    <t>Ne seštevaj avtomatsko z</t>
  </si>
  <si>
    <t>PAIN-001</t>
  </si>
  <si>
    <t>DC-01 Capacity</t>
  </si>
  <si>
    <t>iskanje podatkov, dvojni vnos, ročna poročila</t>
  </si>
  <si>
    <t>vrednost administrativne kapacitete</t>
  </si>
  <si>
    <t>istimi urami po več modulih</t>
  </si>
  <si>
    <t>PAIN-002</t>
  </si>
  <si>
    <t>DC-02 Utilization</t>
  </si>
  <si>
    <t>bench, čakanje, slabo razporejanje</t>
  </si>
  <si>
    <t>izgubljena prispevna marža ali odložena zaposlitev</t>
  </si>
  <si>
    <t>polno prodajno vrednostjo vseh ur</t>
  </si>
  <si>
    <t>PAIN-003</t>
  </si>
  <si>
    <t>DC-03 Scope</t>
  </si>
  <si>
    <t>neodobrene spremembe in over-servicing</t>
  </si>
  <si>
    <t>erozija marže/povrnjen prihodek</t>
  </si>
  <si>
    <t>rework urami, če so iste</t>
  </si>
  <si>
    <t>PAIN-004</t>
  </si>
  <si>
    <t>DC-04 Quality</t>
  </si>
  <si>
    <t>napake, reklamacije, ponovni obisk</t>
  </si>
  <si>
    <t>neposredni strošek + kapaciteta</t>
  </si>
  <si>
    <t>scope creep, če je vzrok zahteva stranke</t>
  </si>
  <si>
    <t>PAIN-005</t>
  </si>
  <si>
    <t>DC-05 Billing</t>
  </si>
  <si>
    <t>manjkajoče ure, napačne tarife, ročni račun</t>
  </si>
  <si>
    <t>povrnjena marža + administracija</t>
  </si>
  <si>
    <t>WIP sprostitvijo kot letni prihodek</t>
  </si>
  <si>
    <t>PAIN-006</t>
  </si>
  <si>
    <t>DC-06 Working capital</t>
  </si>
  <si>
    <t>WIP, DSO, spori</t>
  </si>
  <si>
    <t>enkratna sprostitev kapitala + financiranje</t>
  </si>
  <si>
    <t>polnim zneskom kot letni prihranek</t>
  </si>
  <si>
    <t>PAIN-007</t>
  </si>
  <si>
    <t>DC-07 Field</t>
  </si>
  <si>
    <t>pot, ponovni obisk, napačen material</t>
  </si>
  <si>
    <t>vozilo, čas, material, SLA</t>
  </si>
  <si>
    <t>kakovostjo, če je isti ponovni obisk</t>
  </si>
  <si>
    <t>PAIN-008</t>
  </si>
  <si>
    <t>DC-08 Contracts</t>
  </si>
  <si>
    <t>presežene ure, manjkajoča indeksacija, churn</t>
  </si>
  <si>
    <t>marža pogodbe in retencija</t>
  </si>
  <si>
    <t>splošnim billing leakage</t>
  </si>
  <si>
    <t>PAIN-009</t>
  </si>
  <si>
    <t>DC-09 External spend</t>
  </si>
  <si>
    <t>podizvajalci, urgentna nabava, nadure</t>
  </si>
  <si>
    <t>neposredni denarni odtok</t>
  </si>
  <si>
    <t>polnim stroškom rednih zaposlenih</t>
  </si>
  <si>
    <t>PAIN-010</t>
  </si>
  <si>
    <t>DC-10 Risk</t>
  </si>
  <si>
    <t>skladnost, varnost, odvisnost od ključnih ljudi</t>
  </si>
  <si>
    <t>pričakovana vrednost tveganja</t>
  </si>
  <si>
    <t>navideznim 100% prihrankom</t>
  </si>
  <si>
    <t>KPI</t>
  </si>
  <si>
    <t>Formula</t>
  </si>
  <si>
    <t>Previdnost</t>
  </si>
  <si>
    <t>KPI-001</t>
  </si>
  <si>
    <t>Proposal turnaround</t>
  </si>
  <si>
    <t>datum oddaje - datum kvalificirane zahteve</t>
  </si>
  <si>
    <t>hitrost prodaje</t>
  </si>
  <si>
    <t>loči kompleksnost ponudbe</t>
  </si>
  <si>
    <t>KPI-002</t>
  </si>
  <si>
    <t>Win rate</t>
  </si>
  <si>
    <t>dobljene / odločene ponudbe</t>
  </si>
  <si>
    <t>prodajna kakovost</t>
  </si>
  <si>
    <t>ne vključuj še odprtih</t>
  </si>
  <si>
    <t>KPI-003</t>
  </si>
  <si>
    <t>Estimate accuracy</t>
  </si>
  <si>
    <t>(dejansko - ocena) / ocena</t>
  </si>
  <si>
    <t>kakovost ocene</t>
  </si>
  <si>
    <t>loči ure in strošek</t>
  </si>
  <si>
    <t>KPI-004</t>
  </si>
  <si>
    <t>Backlog coverage</t>
  </si>
  <si>
    <t>potrjeni backlog / mesečna izvedbena kapaciteta</t>
  </si>
  <si>
    <t>prihodnja zasedenost</t>
  </si>
  <si>
    <t>pogodbeni, ne pipeline</t>
  </si>
  <si>
    <t>KPI-005</t>
  </si>
  <si>
    <t>Billable utilization</t>
  </si>
  <si>
    <t>zaračunljive ure / dogovorjene razpoložljive ure</t>
  </si>
  <si>
    <t>monetizacija kapacitete</t>
  </si>
  <si>
    <t>vedno navedi imenovalec</t>
  </si>
  <si>
    <t>KPI-006</t>
  </si>
  <si>
    <t>Realization</t>
  </si>
  <si>
    <t>realizirani prihodek / standardna vrednost dela</t>
  </si>
  <si>
    <t>cenovna in obračunska disciplina</t>
  </si>
  <si>
    <t>ni utilization</t>
  </si>
  <si>
    <t>KPI-007</t>
  </si>
  <si>
    <t>Realized rate</t>
  </si>
  <si>
    <t>storitveni prihodek / zaračunane ure</t>
  </si>
  <si>
    <t>dejanska cena ure</t>
  </si>
  <si>
    <t>segmentiraj po vlogi</t>
  </si>
  <si>
    <t>KPI-008</t>
  </si>
  <si>
    <t>Project gross margin</t>
  </si>
  <si>
    <t>(prihodek - neposredni stroški) / prihodek</t>
  </si>
  <si>
    <t>ekonomika projekta</t>
  </si>
  <si>
    <t>konsistentna alokacija dela</t>
  </si>
  <si>
    <t>KPI-009</t>
  </si>
  <si>
    <t>Forecast margin variance</t>
  </si>
  <si>
    <t>dejanska marža - napovedana marža</t>
  </si>
  <si>
    <t>kakovost EAC</t>
  </si>
  <si>
    <t>primerjaj isto časovno točko</t>
  </si>
  <si>
    <t>KPI-010</t>
  </si>
  <si>
    <t>On-time delivery</t>
  </si>
  <si>
    <t>pravočasno zaključeni / zaključeni</t>
  </si>
  <si>
    <t>izvedbena zanesljivost</t>
  </si>
  <si>
    <t>dogovor o spremembah roka</t>
  </si>
  <si>
    <t>KPI-011</t>
  </si>
  <si>
    <t>Change capture</t>
  </si>
  <si>
    <t>odobrena vrednost sprememb / identificirana upravičena vrednost</t>
  </si>
  <si>
    <t>zaščita obsega</t>
  </si>
  <si>
    <t>zahteva change log</t>
  </si>
  <si>
    <t>KPI-012</t>
  </si>
  <si>
    <t>Rework rate</t>
  </si>
  <si>
    <t>ure popravkov / produktivne ure</t>
  </si>
  <si>
    <t>kakovost</t>
  </si>
  <si>
    <t>loči spremembo zahteve</t>
  </si>
  <si>
    <t>KPI-013</t>
  </si>
  <si>
    <t>Timesheet compliance</t>
  </si>
  <si>
    <t>pravočasno oddane / pričakovane časovnice</t>
  </si>
  <si>
    <t>kakovost podatkov</t>
  </si>
  <si>
    <t>pravočasnost in popolnost ločeno</t>
  </si>
  <si>
    <t>KPI-014</t>
  </si>
  <si>
    <t>Billing lag</t>
  </si>
  <si>
    <t>račun - billing-ready datum</t>
  </si>
  <si>
    <t>cash conversion</t>
  </si>
  <si>
    <t>ne meri samo konec meseca</t>
  </si>
  <si>
    <t>KPI-015</t>
  </si>
  <si>
    <t>WIP / letni relevantni prihodek x 365</t>
  </si>
  <si>
    <t>nezaračunano delo</t>
  </si>
  <si>
    <t>definicija WIP po modelu</t>
  </si>
  <si>
    <t>KPI-016</t>
  </si>
  <si>
    <t>DSO</t>
  </si>
  <si>
    <t>povprečne terjatve / kreditna prodaja x 365</t>
  </si>
  <si>
    <t>hitrost pobiranja</t>
  </si>
  <si>
    <t>sezonska podjetja uporabljajo rolling</t>
  </si>
  <si>
    <t>KPI-017</t>
  </si>
  <si>
    <t>Invoice rejection</t>
  </si>
  <si>
    <t>zavrnjeni računi / izdani računi</t>
  </si>
  <si>
    <t>kakovost obračuna</t>
  </si>
  <si>
    <t>loči tehnične in komercialne razloge</t>
  </si>
  <si>
    <t>KPI-018</t>
  </si>
  <si>
    <t>GRR</t>
  </si>
  <si>
    <t>(začetni ponavljajoči prihodek - churn - contraction) / začetni</t>
  </si>
  <si>
    <t>retencija baze</t>
  </si>
  <si>
    <t>brez expansion prihodka</t>
  </si>
  <si>
    <t>KPI-019</t>
  </si>
  <si>
    <t>dogodki znotraj SLA / vsi SLA dogodki</t>
  </si>
  <si>
    <t>pogodbena kakovost</t>
  </si>
  <si>
    <t>prioritete morajo biti pravilne</t>
  </si>
  <si>
    <t>KPI-020</t>
  </si>
  <si>
    <t>FTFR</t>
  </si>
  <si>
    <t>prvič rešeni terenski nalogi / vsi zaključeni</t>
  </si>
  <si>
    <t>terenska kakovost</t>
  </si>
  <si>
    <t>jasno definiraj ponovni obisk</t>
  </si>
  <si>
    <t>Benchmark</t>
  </si>
  <si>
    <t>Vrednost</t>
  </si>
  <si>
    <t>Vzorec/obdobje</t>
  </si>
  <si>
    <t>BM-001</t>
  </si>
  <si>
    <t>68,9%</t>
  </si>
  <si>
    <t>403 globalnih PSO, poslovanje 2024</t>
  </si>
  <si>
    <t>alarm, ne cilj za vse segmente</t>
  </si>
  <si>
    <t>BM-002</t>
  </si>
  <si>
    <t>73,4%</t>
  </si>
  <si>
    <t>isti vir</t>
  </si>
  <si>
    <t>primerjava projektne discipline</t>
  </si>
  <si>
    <t>BM-003</t>
  </si>
  <si>
    <t>EBITDA marža</t>
  </si>
  <si>
    <t>9,8%</t>
  </si>
  <si>
    <t>okolje pritiska na marže</t>
  </si>
  <si>
    <t>BM-004</t>
  </si>
  <si>
    <t>Projektna marža</t>
  </si>
  <si>
    <t>37,7%</t>
  </si>
  <si>
    <t>orientacija, definicija preveriti</t>
  </si>
  <si>
    <t>BM-005</t>
  </si>
  <si>
    <t>PSA učinek</t>
  </si>
  <si>
    <t>+8% utilization, +11% projektna marža, +117% EBITDA</t>
  </si>
  <si>
    <t>korelacijski ponudniški povzetek</t>
  </si>
  <si>
    <t>ne uporabljati kot ROI predpostavko</t>
  </si>
  <si>
    <t>BM-006</t>
  </si>
  <si>
    <t>A&amp;E operating profit/net revenue</t>
  </si>
  <si>
    <t>21,4%</t>
  </si>
  <si>
    <t>skoraj 900 severnoameriških A&amp;E podjetij, 2024</t>
  </si>
  <si>
    <t>samo za A&amp;E primerjavo</t>
  </si>
  <si>
    <t>BM-007</t>
  </si>
  <si>
    <t>A&amp;E projekti na/pod proračunom</t>
  </si>
  <si>
    <t>75%</t>
  </si>
  <si>
    <t>projektna disciplina</t>
  </si>
  <si>
    <t>BM-008</t>
  </si>
  <si>
    <t>FTFR median</t>
  </si>
  <si>
    <t>71,9%</t>
  </si>
  <si>
    <t>Aquant 2024, več industrij</t>
  </si>
  <si>
    <t>terenski alarmni pas</t>
  </si>
  <si>
    <t>BM-009</t>
  </si>
  <si>
    <t>Nepotrebni truck rolls</t>
  </si>
  <si>
    <t>14%</t>
  </si>
  <si>
    <t>Aquant 2025</t>
  </si>
  <si>
    <t>diagnostično vprašanje</t>
  </si>
  <si>
    <t>BM-010</t>
  </si>
  <si>
    <t>Zamudne B2B prodaje na kredit v Sloveniji</t>
  </si>
  <si>
    <t>38%</t>
  </si>
  <si>
    <t>Atradius 2025</t>
  </si>
  <si>
    <t>kontekst terjatev</t>
  </si>
  <si>
    <t>BM-011</t>
  </si>
  <si>
    <t>Podjetja z ERP v Sloveniji</t>
  </si>
  <si>
    <t>35%</t>
  </si>
  <si>
    <t>SURS 2025, podjetja 10+</t>
  </si>
  <si>
    <t>zrelost trga</t>
  </si>
  <si>
    <t>BM-012</t>
  </si>
  <si>
    <t>Podjetja s CRM v Sloveniji</t>
  </si>
  <si>
    <t>21%</t>
  </si>
  <si>
    <t>integracijska vrzel</t>
  </si>
  <si>
    <t>Benchmarki so orientacijski alarmni pragovi. Pred uporabo preverite definicijo, segment, geografijo, leto in vzorec; korelacij ne obravnavajte kot kavzalni ROI.</t>
  </si>
  <si>
    <t>Potrebna zmožnost</t>
  </si>
  <si>
    <t>PANTHEON dokaz</t>
  </si>
  <si>
    <t>Pokritost</t>
  </si>
  <si>
    <t>Opomba</t>
  </si>
  <si>
    <t>CAP-001</t>
  </si>
  <si>
    <t>računovodstvo in finance</t>
  </si>
  <si>
    <t>glavna knjiga, saldakonti, avtomatsko knjiženje</t>
  </si>
  <si>
    <t>standardna</t>
  </si>
  <si>
    <t>močan temelj</t>
  </si>
  <si>
    <t>CAP-002</t>
  </si>
  <si>
    <t>prihodki/stroški po dimenzijah</t>
  </si>
  <si>
    <t>stroškovna mesta, oddelki, analize</t>
  </si>
  <si>
    <t>standardna/delna</t>
  </si>
  <si>
    <t>potrditi globino projektnega P&amp;L</t>
  </si>
  <si>
    <t>CAP-003</t>
  </si>
  <si>
    <t>izdani in prejeti računi</t>
  </si>
  <si>
    <t>prodaja, nabava, DDV</t>
  </si>
  <si>
    <t>neposreden fit</t>
  </si>
  <si>
    <t>CAP-004</t>
  </si>
  <si>
    <t>terjatve in plačila</t>
  </si>
  <si>
    <t>odprte postavke, bančne povezave</t>
  </si>
  <si>
    <t>CAP-005</t>
  </si>
  <si>
    <t>ponavljajoči računi</t>
  </si>
  <si>
    <t>javno navedena funkcija</t>
  </si>
  <si>
    <t>potrditi pogodbeno avtomatiko in indeksacije</t>
  </si>
  <si>
    <t>CAP-006</t>
  </si>
  <si>
    <t>kadri, odsotnosti, plače</t>
  </si>
  <si>
    <t>HERA/kadri/plače</t>
  </si>
  <si>
    <t>lokalizacija je prednost</t>
  </si>
  <si>
    <t>CAP-007</t>
  </si>
  <si>
    <t>evidenca delovnega časa</t>
  </si>
  <si>
    <t>kadri/granule</t>
  </si>
  <si>
    <t>ločiti prisotnost od projektnih časovnic</t>
  </si>
  <si>
    <t>CAP-008</t>
  </si>
  <si>
    <t>potni nalogi in stroški</t>
  </si>
  <si>
    <t>mobilna granula</t>
  </si>
  <si>
    <t>foto dokazila, kilometrina, dnevnice</t>
  </si>
  <si>
    <t>CAP-009</t>
  </si>
  <si>
    <t>DMS in dokumentni workflow</t>
  </si>
  <si>
    <t>DMS, Workflow, eDokumentacija</t>
  </si>
  <si>
    <t>standardna/dodatna storitev</t>
  </si>
  <si>
    <t>dobra dokazna sled</t>
  </si>
  <si>
    <t>CAP-010</t>
  </si>
  <si>
    <t>e-računi/OCR</t>
  </si>
  <si>
    <t>eIzmenjava, eKnjižbe</t>
  </si>
  <si>
    <t>dodatna storitev</t>
  </si>
  <si>
    <t>relevantno za 2028 B2B mandat</t>
  </si>
  <si>
    <t>CAP-011</t>
  </si>
  <si>
    <t>BI in dashboardi</t>
  </si>
  <si>
    <t>ZEUS in nadzorne plošče</t>
  </si>
  <si>
    <t>odvisno od licence</t>
  </si>
  <si>
    <t>močna finančna analitika</t>
  </si>
  <si>
    <t>CAP-012</t>
  </si>
  <si>
    <t>servisni nalogi</t>
  </si>
  <si>
    <t>servisni modul</t>
  </si>
  <si>
    <t>preveriti pogodbe in SLA</t>
  </si>
  <si>
    <t>CAP-013</t>
  </si>
  <si>
    <t>terenski servis</t>
  </si>
  <si>
    <t>dodatna granula</t>
  </si>
  <si>
    <t>zelo neposreden fit</t>
  </si>
  <si>
    <t>CAP-014</t>
  </si>
  <si>
    <t>material in skladišče</t>
  </si>
  <si>
    <t>prodaja/nabava/skladišče</t>
  </si>
  <si>
    <t>pomembno za mešane storitve</t>
  </si>
  <si>
    <t>CAP-015</t>
  </si>
  <si>
    <t>integracije</t>
  </si>
  <si>
    <t>konektorji in spletne storitve</t>
  </si>
  <si>
    <t>partnerska/tehnična</t>
  </si>
  <si>
    <t>javne specifikacije omejene</t>
  </si>
  <si>
    <t>CAP-016</t>
  </si>
  <si>
    <t>CRM</t>
  </si>
  <si>
    <t>partnerske rešitve</t>
  </si>
  <si>
    <t>partnerska</t>
  </si>
  <si>
    <t>jedro nima polnega CRM</t>
  </si>
  <si>
    <t>Dimenzija</t>
  </si>
  <si>
    <t>Teža</t>
  </si>
  <si>
    <t>Primer signalov</t>
  </si>
  <si>
    <t>ICP-001</t>
  </si>
  <si>
    <t>Osnovni fit</t>
  </si>
  <si>
    <t>15</t>
  </si>
  <si>
    <t>SKD, B2B, 20-500 zaposlenih</t>
  </si>
  <si>
    <t>ICP-002</t>
  </si>
  <si>
    <t>Procesna kompleksnost</t>
  </si>
  <si>
    <t>projekti, lokacije, SLA, material, podizvajalci</t>
  </si>
  <si>
    <t>ICP-003</t>
  </si>
  <si>
    <t>Finančni potencial</t>
  </si>
  <si>
    <t>prihodki, rast, stroški dela, več entitet</t>
  </si>
  <si>
    <t>ICP-004</t>
  </si>
  <si>
    <t>Intenzivnost bolečine</t>
  </si>
  <si>
    <t>pozni računi, zaposlovanje administracije, maržni pritisk</t>
  </si>
  <si>
    <t>ICP-005</t>
  </si>
  <si>
    <t>Trigger/timing</t>
  </si>
  <si>
    <t>10</t>
  </si>
  <si>
    <t>nova lokacija, CFO/PMO, razpis, M&amp;A, e-računi</t>
  </si>
  <si>
    <t>ICP-006</t>
  </si>
  <si>
    <t>PANTHEON fit</t>
  </si>
  <si>
    <t>finance, kadri, servis, skladišče, dokumenti</t>
  </si>
  <si>
    <t>ICP-007</t>
  </si>
  <si>
    <t>Podatkovna pripravljenost</t>
  </si>
  <si>
    <t>5</t>
  </si>
  <si>
    <t>javno omenjeno ERP/CRM/ISO, standardni procesi</t>
  </si>
  <si>
    <t>ICP-008</t>
  </si>
  <si>
    <t>Dostop/kanal</t>
  </si>
  <si>
    <t>Datalab partner, računovodski servis, dogodek</t>
  </si>
  <si>
    <t>ICP-009</t>
  </si>
  <si>
    <t>Spremembna pripravljenost</t>
  </si>
  <si>
    <t>digitalne investicije, vodstvena pobuda</t>
  </si>
  <si>
    <t>module</t>
  </si>
  <si>
    <t>persona</t>
  </si>
  <si>
    <t>question</t>
  </si>
  <si>
    <t>evidence_requested</t>
  </si>
  <si>
    <t>related_metric</t>
  </si>
  <si>
    <t>Q-001</t>
  </si>
  <si>
    <t>Direktor</t>
  </si>
  <si>
    <t>Kolikšen delež prihodkov pri modelu »Svetovalno podjetje« prihaja iz vsakega pogodbenega modela?</t>
  </si>
  <si>
    <t>Prihodki zadnjih 12 mesecev po pogodbi in modelu</t>
  </si>
  <si>
    <t>Q-002</t>
  </si>
  <si>
    <t>CFO</t>
  </si>
  <si>
    <t>Ali za »Svetovalno podjetje« vidite prispevno maržo pred koncem meseca?</t>
  </si>
  <si>
    <t>Primer zadnjega mesečnega poročila</t>
  </si>
  <si>
    <t>Q-003</t>
  </si>
  <si>
    <t>Kolikšen delež prihodkov pri modelu »Kreativna/marketinška agencija« prihaja iz vsakega pogodbenega modela?</t>
  </si>
  <si>
    <t>Q-004</t>
  </si>
  <si>
    <t>Ali za »Kreativna/marketinška agencija« vidite prispevno maržo pred koncem meseca?</t>
  </si>
  <si>
    <t>Q-005</t>
  </si>
  <si>
    <t>Kolikšen delež prihodkov pri modelu »Arhitektura/projektiranje« prihaja iz vsakega pogodbenega modela?</t>
  </si>
  <si>
    <t>Q-006</t>
  </si>
  <si>
    <t>Ali za »Arhitektura/projektiranje« vidite prispevno maržo pred koncem meseca?</t>
  </si>
  <si>
    <t>Q-007</t>
  </si>
  <si>
    <t>Kolikšen delež prihodkov pri modelu »Inženiring« prihaja iz vsakega pogodbenega modela?</t>
  </si>
  <si>
    <t>Q-008</t>
  </si>
  <si>
    <t>Ali za »Inženiring« vidite prispevno maržo pred koncem meseca?</t>
  </si>
  <si>
    <t>Q-009</t>
  </si>
  <si>
    <t>Kolikšen delež prihodkov pri modelu »IT razvoj« prihaja iz vsakega pogodbenega modela?</t>
  </si>
  <si>
    <t>Q-010</t>
  </si>
  <si>
    <t>Ali za »IT razvoj« vidite prispevno maržo pred koncem meseca?</t>
  </si>
  <si>
    <t>Q-011</t>
  </si>
  <si>
    <t>Kolikšen delež prihodkov pri modelu »Sistemski integrator« prihaja iz vsakega pogodbenega modela?</t>
  </si>
  <si>
    <t>Q-012</t>
  </si>
  <si>
    <t>Ali za »Sistemski integrator« vidite prispevno maržo pred koncem meseca?</t>
  </si>
  <si>
    <t>Q-013</t>
  </si>
  <si>
    <t>Kolikšen delež prihodkov pri modelu »MSP/managed services« prihaja iz vsakega pogodbenega modela?</t>
  </si>
  <si>
    <t>Q-014</t>
  </si>
  <si>
    <t>Ali za »MSP/managed services« vidite prispevno maržo pred koncem meseca?</t>
  </si>
  <si>
    <t>Q-015</t>
  </si>
  <si>
    <t>Kolikšen delež prihodkov pri modelu »Terenski servis« prihaja iz vsakega pogodbenega modela?</t>
  </si>
  <si>
    <t>Q-016</t>
  </si>
  <si>
    <t>Ali za »Terenski servis« vidite prispevno maržo pred koncem meseca?</t>
  </si>
  <si>
    <t>Q-017</t>
  </si>
  <si>
    <t>Kolikšen delež prihodkov pri modelu »Montažno-tehnični izvajalec« prihaja iz vsakega pogodbenega modela?</t>
  </si>
  <si>
    <t>Q-018</t>
  </si>
  <si>
    <t>Ali za »Montažno-tehnični izvajalec« vidite prispevno maržo pred koncem meseca?</t>
  </si>
  <si>
    <t>Q-019</t>
  </si>
  <si>
    <t>Kolikšen delež prihodkov pri modelu »Staffing/body leasing« prihaja iz vsakega pogodbenega modela?</t>
  </si>
  <si>
    <t>Q-020</t>
  </si>
  <si>
    <t>Ali za »Staffing/body leasing« vidite prispevno maržo pred koncem meseca?</t>
  </si>
  <si>
    <t>Q-021</t>
  </si>
  <si>
    <t>Kolikšen delež prihodkov pri modelu »Facility/outsourced services« prihaja iz vsakega pogodbenega modela?</t>
  </si>
  <si>
    <t>Q-022</t>
  </si>
  <si>
    <t>Ali za »Facility/outsourced services« vidite prispevno maržo pred koncem meseca?</t>
  </si>
  <si>
    <t>Q-023</t>
  </si>
  <si>
    <t>Kolikšen delež prihodkov pri modelu »Izobraževanja/dogodki« prihaja iz vsakega pogodbenega modela?</t>
  </si>
  <si>
    <t>Q-024</t>
  </si>
  <si>
    <t>Ali za »Izobraževanja/dogodki« vidite prispevno maržo pred koncem meseca?</t>
  </si>
  <si>
    <t>Q-025</t>
  </si>
  <si>
    <t>Lastnik procesa</t>
  </si>
  <si>
    <t>Pokažite zadnji konkreten primer procesa »segmentacija in kvalifikacija«. Kje je nastalo največ čakanja ali ponovnega vnosa?</t>
  </si>
  <si>
    <t>Časovni žig, dokument in odgovorna oseba</t>
  </si>
  <si>
    <t>Q-026</t>
  </si>
  <si>
    <t>Pokažite zadnji konkreten primer procesa »ocena obsega«. Kje je nastalo največ čakanja ali ponovnega vnosa?</t>
  </si>
  <si>
    <t>Q-027</t>
  </si>
  <si>
    <t>Pokažite zadnji konkreten primer procesa »priprava ponudbe«. Kje je nastalo največ čakanja ali ponovnega vnosa?</t>
  </si>
  <si>
    <t>Q-028</t>
  </si>
  <si>
    <t>Pokažite zadnji konkreten primer procesa »pogodba/SLA«. Kje je nastalo največ čakanja ali ponovnega vnosa?</t>
  </si>
  <si>
    <t>Q-029</t>
  </si>
  <si>
    <t>Pokažite zadnji konkreten primer procesa »predaja prodaja-izvedba«. Kje je nastalo največ čakanja ali ponovnega vnosa?</t>
  </si>
  <si>
    <t>Q-030</t>
  </si>
  <si>
    <t>Pokažite zadnji konkreten primer procesa »postavitev projekta/naloga«. Kje je nastalo največ čakanja ali ponovnega vnosa?</t>
  </si>
  <si>
    <t>Q-031</t>
  </si>
  <si>
    <t>Pokažite zadnji konkreten primer procesa »plan kapacitet«. Kje je nastalo največ čakanja ali ponovnega vnosa?</t>
  </si>
  <si>
    <t>Q-032</t>
  </si>
  <si>
    <t>Pokažite zadnji konkreten primer procesa »razporejanje«. Kje je nastalo največ čakanja ali ponovnega vnosa?</t>
  </si>
  <si>
    <t>Q-033</t>
  </si>
  <si>
    <t>Pokažite zadnji konkreten primer procesa »izvedba«. Kje je nastalo največ čakanja ali ponovnega vnosa?</t>
  </si>
  <si>
    <t>Q-034</t>
  </si>
  <si>
    <t>Pokažite zadnji konkreten primer procesa »časovnice«. Kje je nastalo največ čakanja ali ponovnega vnosa?</t>
  </si>
  <si>
    <t>Q-035</t>
  </si>
  <si>
    <t>Pokažite zadnji konkreten primer procesa »stroški in poti«. Kje je nastalo največ čakanja ali ponovnega vnosa?</t>
  </si>
  <si>
    <t>Q-036</t>
  </si>
  <si>
    <t>Pokažite zadnji konkreten primer procesa »material in rezervni deli«. Kje je nastalo največ čakanja ali ponovnega vnosa?</t>
  </si>
  <si>
    <t>Q-037</t>
  </si>
  <si>
    <t>Pokažite zadnji konkreten primer procesa »podizvajalci«. Kje je nastalo največ čakanja ali ponovnega vnosa?</t>
  </si>
  <si>
    <t>Q-038</t>
  </si>
  <si>
    <t>Pokažite zadnji konkreten primer procesa »sprememba obsega«. Kje je nastalo največ čakanja ali ponovnega vnosa?</t>
  </si>
  <si>
    <t>Q-039</t>
  </si>
  <si>
    <t>Pokažite zadnji konkreten primer procesa »kakovost/rework«. Kje je nastalo največ čakanja ali ponovnega vnosa?</t>
  </si>
  <si>
    <t>Q-040</t>
  </si>
  <si>
    <t>Pokažite zadnji konkreten primer procesa »prevzem«. Kje je nastalo največ čakanja ali ponovnega vnosa?</t>
  </si>
  <si>
    <t>Q-041</t>
  </si>
  <si>
    <t>Pokažite zadnji konkreten primer procesa »billing readiness«. Kje je nastalo največ čakanja ali ponovnega vnosa?</t>
  </si>
  <si>
    <t>Q-042</t>
  </si>
  <si>
    <t>Pokažite zadnji konkreten primer procesa »obračun«. Kje je nastalo največ čakanja ali ponovnega vnosa?</t>
  </si>
  <si>
    <t>Q-043</t>
  </si>
  <si>
    <t>Pokažite zadnji konkreten primer procesa »periodični račun«. Kje je nastalo največ čakanja ali ponovnega vnosa?</t>
  </si>
  <si>
    <t>Q-044</t>
  </si>
  <si>
    <t>Pokažite zadnji konkreten primer procesa »WIP«. Kje je nastalo največ čakanja ali ponovnega vnosa?</t>
  </si>
  <si>
    <t>Q-045</t>
  </si>
  <si>
    <t>Pokažite zadnji konkreten primer procesa »terjatve«. Kje je nastalo največ čakanja ali ponovnega vnosa?</t>
  </si>
  <si>
    <t>Q-046</t>
  </si>
  <si>
    <t>Pokažite zadnji konkreten primer procesa »projektni P&amp;L in EAC«. Kje je nastalo največ čakanja ali ponovnega vnosa?</t>
  </si>
  <si>
    <t>Q-047</t>
  </si>
  <si>
    <t>Pokažite zadnji konkreten primer procesa »zaključek/lessons learned«. Kje je nastalo največ čakanja ali ponovnega vnosa?</t>
  </si>
  <si>
    <t>Q-048</t>
  </si>
  <si>
    <t>Pokažite zadnji konkreten primer procesa »zahtevek/SLA«. Kje je nastalo največ čakanja ali ponovnega vnosa?</t>
  </si>
  <si>
    <t>Q-049</t>
  </si>
  <si>
    <t>Pokažite zadnji konkreten primer procesa »podaljšanje pogodbe«. Kje je nastalo največ čakanja ali ponovnega vnosa?</t>
  </si>
  <si>
    <t>Q-050</t>
  </si>
  <si>
    <t>Pokažite zadnji konkreten primer procesa »servisni sprejem/diagnoza«. Kje je nastalo največ čakanja ali ponovnega vnosa?</t>
  </si>
  <si>
    <t>Q-051</t>
  </si>
  <si>
    <t>Pokažite zadnji konkreten primer procesa »dispatch in pot«. Kje je nastalo največ čakanja ali ponovnega vnosa?</t>
  </si>
  <si>
    <t>Q-052</t>
  </si>
  <si>
    <t>Pokažite zadnji konkreten primer procesa »mobilni zaključek«. Kje je nastalo največ čakanja ali ponovnega vnosa?</t>
  </si>
  <si>
    <t>Q-053</t>
  </si>
  <si>
    <t>Pokažite zadnji konkreten primer procesa »analiza storitvene baze«. Kje je nastalo največ čakanja ali ponovnega vnosa?</t>
  </si>
  <si>
    <t>Q-054</t>
  </si>
  <si>
    <t>CFO/COO</t>
  </si>
  <si>
    <t>Kako danes definirate in merite »Proposal turnaround« ter katera odločitev sledi odstopanju?</t>
  </si>
  <si>
    <t>Formula, lastnik, vir, 12-mesečni trend</t>
  </si>
  <si>
    <t>Q-055</t>
  </si>
  <si>
    <t>Kako danes definirate in merite »Win rate« ter katera odločitev sledi odstopanju?</t>
  </si>
  <si>
    <t>Q-056</t>
  </si>
  <si>
    <t>Kako danes definirate in merite »Estimate accuracy« ter katera odločitev sledi odstopanju?</t>
  </si>
  <si>
    <t>Q-057</t>
  </si>
  <si>
    <t>Kako danes definirate in merite »Backlog coverage« ter katera odločitev sledi odstopanju?</t>
  </si>
  <si>
    <t>Q-058</t>
  </si>
  <si>
    <t>Kako danes definirate in merite »Billable utilization« ter katera odločitev sledi odstopanju?</t>
  </si>
  <si>
    <t>Q-059</t>
  </si>
  <si>
    <t>Kako danes definirate in merite »Realization« ter katera odločitev sledi odstopanju?</t>
  </si>
  <si>
    <t>Q-060</t>
  </si>
  <si>
    <t>Kako danes definirate in merite »Realized rate« ter katera odločitev sledi odstopanju?</t>
  </si>
  <si>
    <t>Q-061</t>
  </si>
  <si>
    <t>Kako danes definirate in merite »Project gross margin« ter katera odločitev sledi odstopanju?</t>
  </si>
  <si>
    <t>Q-062</t>
  </si>
  <si>
    <t>Kako danes definirate in merite »Forecast margin variance« ter katera odločitev sledi odstopanju?</t>
  </si>
  <si>
    <t>Q-063</t>
  </si>
  <si>
    <t>Kako danes definirate in merite »On-time delivery« ter katera odločitev sledi odstopanju?</t>
  </si>
  <si>
    <t>Q-064</t>
  </si>
  <si>
    <t>Kako danes definirate in merite »Change capture« ter katera odločitev sledi odstopanju?</t>
  </si>
  <si>
    <t>Q-065</t>
  </si>
  <si>
    <t>Kako danes definirate in merite »Rework rate« ter katera odločitev sledi odstopanju?</t>
  </si>
  <si>
    <t>Q-066</t>
  </si>
  <si>
    <t>Kako danes definirate in merite »Timesheet compliance« ter katera odločitev sledi odstopanju?</t>
  </si>
  <si>
    <t>Q-067</t>
  </si>
  <si>
    <t>Kako danes definirate in merite »Billing lag« ter katera odločitev sledi odstopanju?</t>
  </si>
  <si>
    <t>Q-068</t>
  </si>
  <si>
    <t>Kako danes definirate in merite »WIP days« ter katera odločitev sledi odstopanju?</t>
  </si>
  <si>
    <t>Q-069</t>
  </si>
  <si>
    <t>Kako danes definirate in merite »DSO« ter katera odločitev sledi odstopanju?</t>
  </si>
  <si>
    <t>Q-070</t>
  </si>
  <si>
    <t>Kako danes definirate in merite »Invoice rejection« ter katera odločitev sledi odstopanju?</t>
  </si>
  <si>
    <t>Q-071</t>
  </si>
  <si>
    <t>Kako danes definirate in merite »GRR« ter katera odločitev sledi odstopanju?</t>
  </si>
  <si>
    <t>Q-072</t>
  </si>
  <si>
    <t>Kako danes definirate in merite »SLA compliance« ter katera odločitev sledi odstopanju?</t>
  </si>
  <si>
    <t>Q-073</t>
  </si>
  <si>
    <t>Kako danes definirate in merite »FTFR« ter katera odločitev sledi odstopanju?</t>
  </si>
  <si>
    <t>Raven</t>
  </si>
  <si>
    <t>Opis</t>
  </si>
  <si>
    <t>dimension</t>
  </si>
  <si>
    <t>MAT-001</t>
  </si>
  <si>
    <t>0 Nevidno</t>
  </si>
  <si>
    <t>proces ni definiran; rezultat je odvisen od posameznika</t>
  </si>
  <si>
    <t>MAT-002</t>
  </si>
  <si>
    <t>1 Ročno</t>
  </si>
  <si>
    <t>e-pošta, papir in lokalni Excel; podatki so reaktivni</t>
  </si>
  <si>
    <t>MAT-003</t>
  </si>
  <si>
    <t>2 Osnovno digitalno</t>
  </si>
  <si>
    <t>posamezna orodja obstajajo, povezave in standardi so šibki</t>
  </si>
  <si>
    <t>MAT-004</t>
  </si>
  <si>
    <t>3 Povezano</t>
  </si>
  <si>
    <t>skupni ID-ji, standardni workflowi in redni KPI-ji</t>
  </si>
  <si>
    <t>MAT-005</t>
  </si>
  <si>
    <t>4 Vodeno</t>
  </si>
  <si>
    <t>napovedi, izjeme, lastniki podatkov in merjenje koristi</t>
  </si>
  <si>
    <t>MAT-006</t>
  </si>
  <si>
    <t>5 Prilagodljivo</t>
  </si>
  <si>
    <t>skoraj realni čas, prediktivni signali in stalna optimizacija</t>
  </si>
  <si>
    <t>MDIM-01</t>
  </si>
  <si>
    <t>CRM in prodaja</t>
  </si>
  <si>
    <t>MDIM-02</t>
  </si>
  <si>
    <t>Ponudbe in pogodbe</t>
  </si>
  <si>
    <t>MDIM-03</t>
  </si>
  <si>
    <t>Projekti</t>
  </si>
  <si>
    <t>MDIM-04</t>
  </si>
  <si>
    <t>Planiranje virov</t>
  </si>
  <si>
    <t>MDIM-05</t>
  </si>
  <si>
    <t>Čas in stroški</t>
  </si>
  <si>
    <t>MDIM-06</t>
  </si>
  <si>
    <t>MDIM-07</t>
  </si>
  <si>
    <t>WIP in terjatve</t>
  </si>
  <si>
    <t>MDIM-08</t>
  </si>
  <si>
    <t>Dokumenti</t>
  </si>
  <si>
    <t>MDIM-09</t>
  </si>
  <si>
    <t>Analitika</t>
  </si>
  <si>
    <t>MDIM-10</t>
  </si>
  <si>
    <t>Integracije</t>
  </si>
  <si>
    <t>MDIM-11</t>
  </si>
  <si>
    <t>Servis in SLA</t>
  </si>
  <si>
    <t>MDIM-12</t>
  </si>
  <si>
    <t>Terensko delo</t>
  </si>
  <si>
    <t>MDIM-13</t>
  </si>
  <si>
    <t>Upravljanje podatkov</t>
  </si>
  <si>
    <t>MDIM-14</t>
  </si>
  <si>
    <t>Uporabniška disciplina</t>
  </si>
  <si>
    <t>Kategorija</t>
  </si>
  <si>
    <t>Enkratno</t>
  </si>
  <si>
    <t>Tekoče</t>
  </si>
  <si>
    <t>Pogosto pozabljeno</t>
  </si>
  <si>
    <t>TCO-001</t>
  </si>
  <si>
    <t>Licence/naročnine</t>
  </si>
  <si>
    <t>lahko</t>
  </si>
  <si>
    <t>da</t>
  </si>
  <si>
    <t>granularni uporabniki, konektorji, storage</t>
  </si>
  <si>
    <t>TCO-002</t>
  </si>
  <si>
    <t>Implementacija</t>
  </si>
  <si>
    <t>spremembe</t>
  </si>
  <si>
    <t>procesni design, testiranje</t>
  </si>
  <si>
    <t>TCO-003</t>
  </si>
  <si>
    <t>Migracija</t>
  </si>
  <si>
    <t>občasno</t>
  </si>
  <si>
    <t>čiščenje šifrantov in odprtih postavk</t>
  </si>
  <si>
    <t>TCO-004</t>
  </si>
  <si>
    <t>monitoring in spremembe API-jev</t>
  </si>
  <si>
    <t>TCO-005</t>
  </si>
  <si>
    <t>Prilagoditve</t>
  </si>
  <si>
    <t>regresijsko testiranje</t>
  </si>
  <si>
    <t>TCO-006</t>
  </si>
  <si>
    <t>Izobraževanje</t>
  </si>
  <si>
    <t>osveževanje</t>
  </si>
  <si>
    <t>novi zaposleni in vodje</t>
  </si>
  <si>
    <t>TCO-007</t>
  </si>
  <si>
    <t>Notranji čas</t>
  </si>
  <si>
    <t>product owner, super users, UAT</t>
  </si>
  <si>
    <t>TCO-008</t>
  </si>
  <si>
    <t>Padec produktivnosti</t>
  </si>
  <si>
    <t>ne</t>
  </si>
  <si>
    <t>dvojno vodenje v prehodu</t>
  </si>
  <si>
    <t>TCO-009</t>
  </si>
  <si>
    <t>Podpora/gostovanje</t>
  </si>
  <si>
    <t>odzivni nivo in partner</t>
  </si>
  <si>
    <t>TCO-010</t>
  </si>
  <si>
    <t>Ukinjene rešitve</t>
  </si>
  <si>
    <t>negativni strošek</t>
  </si>
  <si>
    <t>pogodbeni odpovedni roki</t>
  </si>
  <si>
    <t>name</t>
  </si>
  <si>
    <t>url</t>
  </si>
  <si>
    <t>SRC-001</t>
  </si>
  <si>
    <t>SURS, strukturna poslovna statistika 2024</t>
  </si>
  <si>
    <t>https://www.stat.si/StatWeb/en/News/Index/14354</t>
  </si>
  <si>
    <t>SRC-002</t>
  </si>
  <si>
    <t>SURS, Digitalno podjetništvo 2025</t>
  </si>
  <si>
    <t>https://www.stat.si/StatWeb/en/news/Index/14010</t>
  </si>
  <si>
    <t>SRC-003</t>
  </si>
  <si>
    <t>SPI/Kantata 2025</t>
  </si>
  <si>
    <t>https://get.kantata.com/rs/677-LEJ-696/images/2025-ps-maturity-benchmark.pdf</t>
  </si>
  <si>
    <t>SRC-004</t>
  </si>
  <si>
    <t>Atradius, Slovenija 2025</t>
  </si>
  <si>
    <t>https://atradius.co.nz/dam/jcr%3Acd9ecbf4-a2f5-463e-ab5f-740b53c458b9/payment-practices-barometer-central-and-eastern-europe-2025-slovenia-en.pdf</t>
  </si>
  <si>
    <t>SRC-005</t>
  </si>
  <si>
    <t>Datalab, Servis na terenu</t>
  </si>
  <si>
    <t>https://www.datalab.si/pantheon-granule/granula-servis-na-terenu/</t>
  </si>
  <si>
    <t>SRC-006</t>
  </si>
  <si>
    <t>SURS, podrobni podatki ICT in velikostni razredi</t>
  </si>
  <si>
    <t>https://www.stat.si/StatWeb/en/News/Index/14466</t>
  </si>
  <si>
    <t>SRC-007</t>
  </si>
  <si>
    <t>SURS, ICT sektor 2024</t>
  </si>
  <si>
    <t>https://www.stat.si/StatWeb/en/News/Index/13854</t>
  </si>
  <si>
    <t>SRC-008</t>
  </si>
  <si>
    <t>https://discover.aquant.ai/service-benchmark-report</t>
  </si>
  <si>
    <t>SRC-009</t>
  </si>
  <si>
    <t>GOV.SI, zagotavljanje dela delavcev uporabniku</t>
  </si>
  <si>
    <t>https://www.gov.si/teme/zagotavljanje-dela-delavcev-uporabniku/</t>
  </si>
  <si>
    <t>SRC-010</t>
  </si>
  <si>
    <t>Deltek Clarity 2025</t>
  </si>
  <si>
    <t>https://www.deltek.com/company/news/what-the-46th-annual-deltek-clarity-ae-study-reveals-about-the-industry/</t>
  </si>
  <si>
    <t>SRC-011</t>
  </si>
  <si>
    <t>SAP, PSA</t>
  </si>
  <si>
    <t>https://www.sap.com/resources/what-is-psa-software</t>
  </si>
  <si>
    <t>SRC-012</t>
  </si>
  <si>
    <t>PANTHEON feature comparison</t>
  </si>
  <si>
    <t>https://www.datalab.eu/feature-comparison/</t>
  </si>
  <si>
    <t>SRC-013</t>
  </si>
  <si>
    <t>PANTHEON DMS</t>
  </si>
  <si>
    <t>https://www.datalab.si/pantheon-dms/</t>
  </si>
  <si>
    <t>SRC-014</t>
  </si>
  <si>
    <t>Potni nalogi</t>
  </si>
  <si>
    <t>https://www.datalab.si/pantheon-granule/granula-potni-nalogi/</t>
  </si>
  <si>
    <t>SRC-015</t>
  </si>
  <si>
    <t>Letno poročilo 2024</t>
  </si>
  <si>
    <t>https://www.datalab.si/wp-content/uploads/Letno-porocilo-za-poslovno-leto-2024.pdf</t>
  </si>
  <si>
    <t>SRC-016</t>
  </si>
  <si>
    <t>Datalab, storitve</t>
  </si>
  <si>
    <t>https://www.datalab.si/storitve/</t>
  </si>
  <si>
    <t>SRC-017</t>
  </si>
  <si>
    <t>Microsoft</t>
  </si>
  <si>
    <t>https://learn.microsoft.com/en-gb/dynamics365/business-central/projects-manage-projects</t>
  </si>
  <si>
    <t>SRC-018</t>
  </si>
  <si>
    <t>SAP</t>
  </si>
  <si>
    <t>https://help.sap.com/doc/46e99943f725466a87f40799f9761ddb/10.0/en-US/How_to_Work_with_Project_Management_in_SAP_Business_One.pdf</t>
  </si>
  <si>
    <t>SRC-019</t>
  </si>
  <si>
    <t>Odoo</t>
  </si>
  <si>
    <t>https://www.odoo.com/app/field-service</t>
  </si>
  <si>
    <t>SRC-020</t>
  </si>
  <si>
    <t>GOV.SI</t>
  </si>
  <si>
    <t>https://www.gov.si/novice/2025-10-23-drzavni-zbor-sprejel-zakon-o-izmenjavi-elektronskih-racunov-in-drugih-elektronskih-dokumentov/</t>
  </si>
  <si>
    <t>SRC-021</t>
  </si>
  <si>
    <t>GOV.SI, delovna razmerja</t>
  </si>
  <si>
    <t>https://www.gov.si/teme/delovna-razmerja/</t>
  </si>
  <si>
    <t>SRC-022</t>
  </si>
  <si>
    <t>Informacijski pooblaščenec</t>
  </si>
  <si>
    <t>https://www.ip-rs.si/fileadmin/user_upload/Pdf/smernice/Smernice_-_Varstvo_OP_v_delovnih_razmerjih_verzija_1.1_koncna.pdf</t>
  </si>
  <si>
    <t>SRC-023</t>
  </si>
  <si>
    <t>EUR-Lex, Uredba 2024/1183</t>
  </si>
  <si>
    <t>https://eur-lex.europa.eu/eli/reg/2024/1183/oj/eng</t>
  </si>
  <si>
    <t>SRC-024</t>
  </si>
  <si>
    <t>UMAR, Poročilo o razvoju 2026</t>
  </si>
  <si>
    <t>https://www.umar.gov.si/fileadmin/user_upload/razvoj_slovenije/2026/angleski/Development_Report_2026_Key_messages.pdf</t>
  </si>
  <si>
    <t>SRC-025</t>
  </si>
  <si>
    <t>Eurostat, AI v EU</t>
  </si>
  <si>
    <t>https://op.europa.eu/o/opportal-service/download-handler?format=PDF&amp;identifier=b789cbdf-3482-11f1-be39-01aa75ed71a1&amp;language=en&amp;productionSystem=cellar</t>
  </si>
  <si>
    <t>SRC-026</t>
  </si>
  <si>
    <t>Kouriati et al. 2022</t>
  </si>
  <si>
    <t>https://www.mdpi.com/2071-1050/14/11/6606</t>
  </si>
  <si>
    <t>SRC-027</t>
  </si>
  <si>
    <t>Llivisaca-Villazhañay et al. 2025</t>
  </si>
  <si>
    <t>https://www.mdpi.com/2076-3387/15/6/196</t>
  </si>
  <si>
    <t>SRC-028</t>
  </si>
  <si>
    <t>Eurofound 2025</t>
  </si>
  <si>
    <t>https://www.eurofound.europa.eu/en/publications/all/sme-digitalisation-eu-trends-policies-and-impacts</t>
  </si>
  <si>
    <t>SRC-029</t>
  </si>
  <si>
    <t>SURS - Podjetja 2024</t>
  </si>
  <si>
    <t>https://www.stat.si/StatWeb/en/News/Index/13762</t>
  </si>
  <si>
    <t>SRC-030</t>
  </si>
  <si>
    <t>Eurostat - Digitalizacija v Evropi 2025</t>
  </si>
  <si>
    <t>https://ec.europa.eu/eurostat/web/interactive-publications/digitalisation-2025</t>
  </si>
  <si>
    <t>SRC-031</t>
  </si>
  <si>
    <t>OECD - Digitalizacija MSP</t>
  </si>
  <si>
    <t>https://www.oecd.org/en/topics/digitalisation-of-smes.html</t>
  </si>
  <si>
    <t>SRC-032</t>
  </si>
  <si>
    <t>UMAR - Poročilo o razvoju 2025</t>
  </si>
  <si>
    <t>https://www.umar.gov.si/fileadmin/user_upload/razvoj_slovenije/2025/angleski/POR_2025_EN.pdf</t>
  </si>
  <si>
    <t>SRC-033</t>
  </si>
  <si>
    <t>PMI - Pulse of the Profession 2025</t>
  </si>
  <si>
    <t>https://www.pmi.org/-/media/pmi/documents/public/pdf/learning/thought-leadership/pulse/pulse_of_the_profession_2025-1.pdf</t>
  </si>
  <si>
    <t>SRC-034</t>
  </si>
  <si>
    <t>Geotab - State of Field Service 2025</t>
  </si>
  <si>
    <t>https://www.geotab.com/CMS-GeneralFiles-production/NA/brochures/2025/field-service-operations/StateofFieldService2025%28ec%29RPT7Geotab.pdf</t>
  </si>
  <si>
    <t>SRC-035</t>
  </si>
  <si>
    <t>EU Payment Observatory - Annual Report 2025</t>
  </si>
  <si>
    <t>https://single-market-economy.ec.europa.eu/document/download/8aabc383-52ce-49a9-a197-b4c49dc79a64_en?filename=Summary+2025.pdf</t>
  </si>
  <si>
    <t>SRC-036</t>
  </si>
  <si>
    <t>Datalab - Licenčne cene in konektorji</t>
  </si>
  <si>
    <t>https://www.datalab.eu/pantheon-license-prices/</t>
  </si>
  <si>
    <t>gap</t>
  </si>
  <si>
    <t>status</t>
  </si>
  <si>
    <t>GAP-01</t>
  </si>
  <si>
    <t>Opportunity-to-project in poln CRM</t>
  </si>
  <si>
    <t>zahteva interno potrditev</t>
  </si>
  <si>
    <t>GAP-02</t>
  </si>
  <si>
    <t>CPQ in strukturirano ocenjevanje ponudbe</t>
  </si>
  <si>
    <t>GAP-03</t>
  </si>
  <si>
    <t>Skill-based resource planning in scenariji</t>
  </si>
  <si>
    <t>GAP-04</t>
  </si>
  <si>
    <t>Projektni baseline ter ETC/EAC po vlogah</t>
  </si>
  <si>
    <t>GAP-05</t>
  </si>
  <si>
    <t>Formalni change-order register</t>
  </si>
  <si>
    <t>GAP-06</t>
  </si>
  <si>
    <t>Napredno milestone/WIP/revenue recognition</t>
  </si>
  <si>
    <t>GAP-07</t>
  </si>
  <si>
    <t>Vključene ure, SLA časovniki in renewal workflow</t>
  </si>
  <si>
    <t>GAP-08</t>
  </si>
  <si>
    <t>ITSM/ticketing</t>
  </si>
  <si>
    <t>GAP-09</t>
  </si>
  <si>
    <t>Dinamično dispatchiranje in optimizacija poti</t>
  </si>
  <si>
    <t>GAP-10</t>
  </si>
  <si>
    <t>Offline terenska uporaba v vseh scenarijih</t>
  </si>
  <si>
    <t>GAP-11</t>
  </si>
  <si>
    <t>Večentitetna projektna profitabilnost</t>
  </si>
  <si>
    <t>GAP-12</t>
  </si>
  <si>
    <t>Javno dokumentirani API endpointi in omejitve</t>
  </si>
  <si>
    <t>Register</t>
  </si>
  <si>
    <t>Expected rows</t>
  </si>
  <si>
    <t>Workbook rows</t>
  </si>
  <si>
    <t>Status</t>
  </si>
  <si>
    <t>Market</t>
  </si>
  <si>
    <t>Archetypes</t>
  </si>
  <si>
    <t>Personas</t>
  </si>
  <si>
    <t>Processes</t>
  </si>
  <si>
    <t>Pain_Groups</t>
  </si>
  <si>
    <t>KPIs</t>
  </si>
  <si>
    <t>Benchmarks</t>
  </si>
  <si>
    <t>PANTHEON</t>
  </si>
  <si>
    <t>ICP_Scoring</t>
  </si>
  <si>
    <t>Questions</t>
  </si>
  <si>
    <t>Maturity</t>
  </si>
  <si>
    <t>TCO</t>
  </si>
  <si>
    <t>Sources</t>
  </si>
  <si>
    <t>Open_Gaps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</si>
</sst>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20"/>
      <color rgb="FFFFFFFF"/>
      <name val="Carlito"/>
    </font>
    <font>
      <b/>
      <sz val="11"/>
      <color rgb="FF17324D"/>
      <name val="Carlito"/>
    </font>
    <font>
      <sz val="11"/>
      <color rgb="FF20303C"/>
      <name val="Carlito"/>
    </font>
    <font>
      <b/>
      <sz val="10"/>
      <color rgb="FFFFFFFF"/>
      <name val="Carlito"/>
    </font>
    <font>
      <sz val="9"/>
      <color rgb="FF20303C"/>
      <name val="Carlito"/>
    </font>
    <font>
      <i/>
      <sz val="9"/>
      <color rgb="FF20303C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3F6"/>
      </patternFill>
    </fill>
    <fill>
      <patternFill patternType="solid">
        <fgColor rgb="FFFFF8E5"/>
      </patternFill>
    </fill>
    <fill>
      <patternFill patternType="solid">
        <fgColor rgb="FFFDE8E7"/>
      </patternFill>
    </fill>
  </fills>
  <borders count="2">
    <border>
      <left/>
      <right/>
      <top/>
      <bottom/>
      <diagonal/>
    </border>
    <border>
      <left style="thin">
        <color rgb="FFCAD6DE"/>
      </left>
      <right style="thin">
        <color rgb="FFCAD6DE"/>
      </right>
      <top style="thin">
        <color rgb="FFCAD6DE"/>
      </top>
      <bottom style="thin">
        <color rgb="FFCAD6D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3" fontId="5" fillId="3" borderId="1" xfId="0" applyNumberFormat="1" applyFont="1" applyFill="1" applyBorder="1" applyAlignment="1">
      <alignment vertical="top" wrapText="1"/>
    </xf>
    <xf numFmtId="3" fontId="0" fillId="0" borderId="0" xfId="0" applyNumberFormat="1"/>
    <xf numFmtId="3" fontId="5" fillId="0" borderId="1" xfId="0" applyNumberFormat="1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7" fillId="2" borderId="1" xfId="0" applyFont="1" applyFill="1" applyBorder="1"/>
    <xf numFmtId="0" fontId="1" fillId="2" borderId="0" xfId="0" applyFont="1" applyFill="1" applyAlignment="1">
      <alignment vertical="center" wrapText="1"/>
    </xf>
    <xf numFmtId="0" fontId="6" fillId="4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1">
    <dxf>
      <font>
        <b/>
        <color rgb="FF8A1C16"/>
      </font>
      <fill>
        <patternFill patternType="solid">
          <b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tabSelected="1" workbookViewId="0">
      <selection sqref="A1:F2"/>
    </sheetView>
  </sheetViews>
  <sheetFormatPr baseColWidth="10" defaultColWidth="8.83203125" defaultRowHeight="15"/>
  <cols>
    <col min="1" max="1" width="22" customWidth="1"/>
    <col min="2" max="2" width="76" customWidth="1"/>
  </cols>
  <sheetData>
    <row r="1" spans="1:6">
      <c r="A1" s="13" t="s">
        <v>0</v>
      </c>
      <c r="B1" s="13"/>
      <c r="C1" s="13"/>
      <c r="D1" s="13"/>
      <c r="E1" s="13"/>
      <c r="F1" s="13"/>
    </row>
    <row r="2" spans="1:6">
      <c r="A2" s="13"/>
      <c r="B2" s="13"/>
      <c r="C2" s="13"/>
      <c r="D2" s="13"/>
      <c r="E2" s="13"/>
      <c r="F2" s="13"/>
    </row>
    <row r="4" spans="1:6" ht="15" customHeight="1">
      <c r="A4" s="1" t="s">
        <v>1</v>
      </c>
      <c r="B4" s="3" t="s">
        <v>2</v>
      </c>
    </row>
    <row r="5" spans="1:6" ht="15" customHeight="1">
      <c r="A5" s="1" t="s">
        <v>3</v>
      </c>
      <c r="B5" s="3" t="s">
        <v>4</v>
      </c>
    </row>
    <row r="6" spans="1:6" ht="15" customHeight="1">
      <c r="A6" s="1" t="s">
        <v>5</v>
      </c>
      <c r="B6" s="3" t="s">
        <v>6</v>
      </c>
    </row>
    <row r="7" spans="1:6" ht="15" customHeight="1">
      <c r="A7" s="1" t="s">
        <v>7</v>
      </c>
      <c r="B7" s="3" t="s">
        <v>8</v>
      </c>
    </row>
    <row r="8" spans="1:6" ht="15" customHeight="1">
      <c r="A8" s="1" t="s">
        <v>9</v>
      </c>
      <c r="B8" s="3" t="s">
        <v>10</v>
      </c>
    </row>
    <row r="9" spans="1:6" ht="15" customHeight="1">
      <c r="A9" s="1" t="s">
        <v>11</v>
      </c>
      <c r="B9" s="3" t="s">
        <v>12</v>
      </c>
    </row>
    <row r="10" spans="1:6" ht="15" customHeight="1">
      <c r="A10" s="1" t="s">
        <v>13</v>
      </c>
      <c r="B10" s="3" t="s">
        <v>14</v>
      </c>
    </row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showGridLines="0" workbookViewId="0"/>
  </sheetViews>
  <sheetFormatPr baseColWidth="10" defaultColWidth="8.83203125" defaultRowHeight="15"/>
  <cols>
    <col min="1" max="1" width="14" customWidth="1"/>
    <col min="2" max="5" width="24" customWidth="1"/>
    <col min="6" max="6" width="14" customWidth="1"/>
    <col min="7" max="7" width="24" customWidth="1"/>
  </cols>
  <sheetData>
    <row r="1" spans="1:7" ht="24" customHeight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4" t="s">
        <v>21</v>
      </c>
    </row>
    <row r="2" spans="1:7" ht="21.5" customHeight="1">
      <c r="A2" s="7" t="s">
        <v>22</v>
      </c>
      <c r="B2" s="7" t="s">
        <v>23</v>
      </c>
      <c r="C2" s="8">
        <v>12870</v>
      </c>
      <c r="D2" s="8">
        <v>36721</v>
      </c>
      <c r="E2" s="8">
        <v>5492</v>
      </c>
      <c r="F2" s="8">
        <v>2408</v>
      </c>
      <c r="G2" s="9">
        <f>F2*1000000/D2</f>
        <v>65575.556221235805</v>
      </c>
    </row>
    <row r="3" spans="1:7" ht="21.5" customHeight="1">
      <c r="A3" s="6" t="s">
        <v>24</v>
      </c>
      <c r="B3" s="6" t="s">
        <v>25</v>
      </c>
      <c r="C3" s="10">
        <v>41792</v>
      </c>
      <c r="D3" s="10">
        <v>71913</v>
      </c>
      <c r="E3" s="10">
        <v>7542</v>
      </c>
      <c r="F3" s="10">
        <v>3199</v>
      </c>
      <c r="G3" s="9">
        <f>F3*1000000/D3</f>
        <v>44484.307427029882</v>
      </c>
    </row>
    <row r="4" spans="1:7" ht="21.5" customHeight="1">
      <c r="A4" s="7" t="s">
        <v>26</v>
      </c>
      <c r="B4" s="7" t="s">
        <v>27</v>
      </c>
      <c r="C4" s="8">
        <v>10827</v>
      </c>
      <c r="D4" s="8">
        <v>37743</v>
      </c>
      <c r="E4" s="8">
        <v>2625</v>
      </c>
      <c r="F4" s="8">
        <v>1189</v>
      </c>
      <c r="G4" s="9">
        <f>F4*1000000/D4</f>
        <v>31502.530270513736</v>
      </c>
    </row>
    <row r="5" spans="1:7" ht="15" customHeight="1">
      <c r="A5" s="6" t="s">
        <v>28</v>
      </c>
      <c r="B5" s="6" t="s">
        <v>29</v>
      </c>
      <c r="C5" s="10">
        <v>65489</v>
      </c>
      <c r="D5" s="10">
        <v>146377</v>
      </c>
      <c r="E5" s="10">
        <v>15659</v>
      </c>
      <c r="F5" s="10">
        <v>6796</v>
      </c>
      <c r="G5" s="9">
        <f>F5*1000000/D5</f>
        <v>46428.059052993296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workbookViewId="0"/>
  </sheetViews>
  <sheetFormatPr baseColWidth="10" defaultColWidth="8.83203125" defaultRowHeight="15"/>
  <cols>
    <col min="1" max="1" width="14" customWidth="1"/>
    <col min="2" max="3" width="24" customWidth="1"/>
    <col min="4" max="4" width="34" customWidth="1"/>
    <col min="5" max="5" width="24" customWidth="1"/>
    <col min="6" max="6" width="14" customWidth="1"/>
  </cols>
  <sheetData>
    <row r="1" spans="1:6" ht="15" customHeight="1">
      <c r="A1" s="5" t="s">
        <v>15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</row>
    <row r="2" spans="1:6" ht="21.5" customHeight="1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35</v>
      </c>
    </row>
    <row r="3" spans="1:6" ht="21.5" customHeight="1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40</v>
      </c>
    </row>
    <row r="4" spans="1:6" ht="21.5" customHeight="1">
      <c r="A4" s="7" t="s">
        <v>45</v>
      </c>
      <c r="B4" s="7" t="s">
        <v>46</v>
      </c>
      <c r="C4" s="7" t="s">
        <v>47</v>
      </c>
      <c r="D4" s="7" t="s">
        <v>48</v>
      </c>
      <c r="E4" s="7" t="s">
        <v>49</v>
      </c>
      <c r="F4" s="7" t="s">
        <v>45</v>
      </c>
    </row>
    <row r="5" spans="1:6" ht="21.5" customHeight="1">
      <c r="A5" s="6" t="s">
        <v>50</v>
      </c>
      <c r="B5" s="6" t="s">
        <v>51</v>
      </c>
      <c r="C5" s="6" t="s">
        <v>52</v>
      </c>
      <c r="D5" s="6" t="s">
        <v>53</v>
      </c>
      <c r="E5" s="6" t="s">
        <v>54</v>
      </c>
      <c r="F5" s="6" t="s">
        <v>50</v>
      </c>
    </row>
    <row r="6" spans="1:6" ht="21.5" customHeight="1">
      <c r="A6" s="7" t="s">
        <v>55</v>
      </c>
      <c r="B6" s="7" t="s">
        <v>56</v>
      </c>
      <c r="C6" s="7" t="s">
        <v>57</v>
      </c>
      <c r="D6" s="7" t="s">
        <v>58</v>
      </c>
      <c r="E6" s="7" t="s">
        <v>59</v>
      </c>
      <c r="F6" s="7" t="s">
        <v>55</v>
      </c>
    </row>
    <row r="7" spans="1:6" ht="21.5" customHeight="1">
      <c r="A7" s="6" t="s">
        <v>60</v>
      </c>
      <c r="B7" s="6" t="s">
        <v>61</v>
      </c>
      <c r="C7" s="6" t="s">
        <v>62</v>
      </c>
      <c r="D7" s="6" t="s">
        <v>63</v>
      </c>
      <c r="E7" s="6" t="s">
        <v>64</v>
      </c>
      <c r="F7" s="6" t="s">
        <v>60</v>
      </c>
    </row>
    <row r="8" spans="1:6" ht="21.5" customHeight="1">
      <c r="A8" s="7" t="s">
        <v>65</v>
      </c>
      <c r="B8" s="7" t="s">
        <v>66</v>
      </c>
      <c r="C8" s="7" t="s">
        <v>67</v>
      </c>
      <c r="D8" s="7" t="s">
        <v>68</v>
      </c>
      <c r="E8" s="7" t="s">
        <v>69</v>
      </c>
      <c r="F8" s="7" t="s">
        <v>65</v>
      </c>
    </row>
    <row r="9" spans="1:6" ht="15" customHeight="1">
      <c r="A9" s="6" t="s">
        <v>70</v>
      </c>
      <c r="B9" s="6" t="s">
        <v>71</v>
      </c>
      <c r="C9" s="6" t="s">
        <v>72</v>
      </c>
      <c r="D9" s="6" t="s">
        <v>73</v>
      </c>
      <c r="E9" s="6" t="s">
        <v>74</v>
      </c>
      <c r="F9" s="6" t="s">
        <v>70</v>
      </c>
    </row>
    <row r="10" spans="1:6" ht="21.5" customHeight="1">
      <c r="A10" s="7" t="s">
        <v>75</v>
      </c>
      <c r="B10" s="7" t="s">
        <v>76</v>
      </c>
      <c r="C10" s="7" t="s">
        <v>77</v>
      </c>
      <c r="D10" s="7" t="s">
        <v>78</v>
      </c>
      <c r="E10" s="7" t="s">
        <v>79</v>
      </c>
      <c r="F10" s="7" t="s">
        <v>75</v>
      </c>
    </row>
    <row r="11" spans="1:6" ht="15" customHeight="1">
      <c r="A11" s="6" t="s">
        <v>80</v>
      </c>
      <c r="B11" s="6" t="s">
        <v>81</v>
      </c>
      <c r="C11" s="6" t="s">
        <v>82</v>
      </c>
      <c r="D11" s="6" t="s">
        <v>83</v>
      </c>
      <c r="E11" s="6" t="s">
        <v>84</v>
      </c>
      <c r="F11" s="6" t="s">
        <v>80</v>
      </c>
    </row>
    <row r="12" spans="1:6" ht="21.5" customHeight="1">
      <c r="A12" s="7" t="s">
        <v>85</v>
      </c>
      <c r="B12" s="7" t="s">
        <v>86</v>
      </c>
      <c r="C12" s="7" t="s">
        <v>87</v>
      </c>
      <c r="D12" s="7" t="s">
        <v>88</v>
      </c>
      <c r="E12" s="7" t="s">
        <v>89</v>
      </c>
      <c r="F12" s="7" t="s">
        <v>85</v>
      </c>
    </row>
    <row r="13" spans="1:6" ht="21.5" customHeight="1">
      <c r="A13" s="6" t="s">
        <v>90</v>
      </c>
      <c r="B13" s="6" t="s">
        <v>91</v>
      </c>
      <c r="C13" s="6" t="s">
        <v>92</v>
      </c>
      <c r="D13" s="6" t="s">
        <v>93</v>
      </c>
      <c r="E13" s="6" t="s">
        <v>94</v>
      </c>
      <c r="F13" s="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workbookViewId="0"/>
  </sheetViews>
  <sheetFormatPr baseColWidth="10" defaultColWidth="8.83203125" defaultRowHeight="15"/>
  <cols>
    <col min="1" max="1" width="14" customWidth="1"/>
    <col min="2" max="6" width="24" customWidth="1"/>
  </cols>
  <sheetData>
    <row r="1" spans="1:6" ht="15" customHeight="1">
      <c r="A1" s="5" t="s">
        <v>15</v>
      </c>
      <c r="B1" s="5" t="s">
        <v>95</v>
      </c>
      <c r="C1" s="5" t="s">
        <v>96</v>
      </c>
      <c r="D1" s="5" t="s">
        <v>97</v>
      </c>
      <c r="E1" s="5" t="s">
        <v>98</v>
      </c>
      <c r="F1" s="5" t="s">
        <v>99</v>
      </c>
    </row>
    <row r="2" spans="1:6" ht="21.5" customHeight="1">
      <c r="A2" s="7" t="s">
        <v>100</v>
      </c>
      <c r="B2" s="7" t="s">
        <v>101</v>
      </c>
      <c r="C2" s="7" t="s">
        <v>102</v>
      </c>
      <c r="D2" s="7" t="s">
        <v>103</v>
      </c>
      <c r="E2" s="7" t="s">
        <v>104</v>
      </c>
      <c r="F2" s="7" t="s">
        <v>105</v>
      </c>
    </row>
    <row r="3" spans="1:6" ht="15" customHeight="1">
      <c r="A3" s="6" t="s">
        <v>106</v>
      </c>
      <c r="B3" s="6" t="s">
        <v>107</v>
      </c>
      <c r="C3" s="6" t="s">
        <v>108</v>
      </c>
      <c r="D3" s="6" t="s">
        <v>109</v>
      </c>
      <c r="E3" s="6" t="s">
        <v>110</v>
      </c>
      <c r="F3" s="6" t="s">
        <v>111</v>
      </c>
    </row>
    <row r="4" spans="1:6" ht="15" customHeight="1">
      <c r="A4" s="7" t="s">
        <v>112</v>
      </c>
      <c r="B4" s="7" t="s">
        <v>113</v>
      </c>
      <c r="C4" s="7" t="s">
        <v>114</v>
      </c>
      <c r="D4" s="7" t="s">
        <v>115</v>
      </c>
      <c r="E4" s="7" t="s">
        <v>116</v>
      </c>
      <c r="F4" s="7" t="s">
        <v>117</v>
      </c>
    </row>
    <row r="5" spans="1:6" ht="15" customHeight="1">
      <c r="A5" s="6" t="s">
        <v>118</v>
      </c>
      <c r="B5" s="6" t="s">
        <v>119</v>
      </c>
      <c r="C5" s="6" t="s">
        <v>120</v>
      </c>
      <c r="D5" s="6" t="s">
        <v>121</v>
      </c>
      <c r="E5" s="6" t="s">
        <v>122</v>
      </c>
      <c r="F5" s="6" t="s">
        <v>123</v>
      </c>
    </row>
    <row r="6" spans="1:6" ht="15" customHeight="1">
      <c r="A6" s="7" t="s">
        <v>124</v>
      </c>
      <c r="B6" s="7" t="s">
        <v>125</v>
      </c>
      <c r="C6" s="7" t="s">
        <v>126</v>
      </c>
      <c r="D6" s="7" t="s">
        <v>127</v>
      </c>
      <c r="E6" s="7" t="s">
        <v>128</v>
      </c>
      <c r="F6" s="7" t="s">
        <v>129</v>
      </c>
    </row>
    <row r="7" spans="1:6" ht="15" customHeight="1">
      <c r="A7" s="6" t="s">
        <v>130</v>
      </c>
      <c r="B7" s="6" t="s">
        <v>131</v>
      </c>
      <c r="C7" s="6" t="s">
        <v>132</v>
      </c>
      <c r="D7" s="6" t="s">
        <v>133</v>
      </c>
      <c r="E7" s="6" t="s">
        <v>134</v>
      </c>
      <c r="F7" s="6" t="s">
        <v>135</v>
      </c>
    </row>
    <row r="8" spans="1:6" ht="15" customHeight="1">
      <c r="A8" s="7" t="s">
        <v>136</v>
      </c>
      <c r="B8" s="7" t="s">
        <v>137</v>
      </c>
      <c r="C8" s="7" t="s">
        <v>138</v>
      </c>
      <c r="D8" s="7" t="s">
        <v>139</v>
      </c>
      <c r="E8" s="7" t="s">
        <v>140</v>
      </c>
      <c r="F8" s="7" t="s">
        <v>141</v>
      </c>
    </row>
    <row r="9" spans="1:6" ht="15" customHeight="1">
      <c r="A9" s="6" t="s">
        <v>142</v>
      </c>
      <c r="B9" s="6" t="s">
        <v>143</v>
      </c>
      <c r="C9" s="6" t="s">
        <v>144</v>
      </c>
      <c r="D9" s="6" t="s">
        <v>145</v>
      </c>
      <c r="E9" s="6" t="s">
        <v>146</v>
      </c>
      <c r="F9" s="6" t="s">
        <v>141</v>
      </c>
    </row>
    <row r="10" spans="1:6" ht="15" customHeight="1">
      <c r="A10" s="7" t="s">
        <v>147</v>
      </c>
      <c r="B10" s="7" t="s">
        <v>148</v>
      </c>
      <c r="C10" s="7" t="s">
        <v>149</v>
      </c>
      <c r="D10" s="7" t="s">
        <v>150</v>
      </c>
      <c r="E10" s="7" t="s">
        <v>151</v>
      </c>
      <c r="F10" s="7" t="s">
        <v>152</v>
      </c>
    </row>
    <row r="11" spans="1:6" ht="15" customHeight="1">
      <c r="A11" s="6" t="s">
        <v>153</v>
      </c>
      <c r="B11" s="6" t="s">
        <v>154</v>
      </c>
      <c r="C11" s="6" t="s">
        <v>155</v>
      </c>
      <c r="D11" s="6" t="s">
        <v>156</v>
      </c>
      <c r="E11" s="6" t="s">
        <v>157</v>
      </c>
      <c r="F11" s="6" t="s">
        <v>129</v>
      </c>
    </row>
    <row r="12" spans="1:6" ht="15" customHeight="1">
      <c r="A12" s="7" t="s">
        <v>158</v>
      </c>
      <c r="B12" s="7" t="s">
        <v>159</v>
      </c>
      <c r="C12" s="7" t="s">
        <v>160</v>
      </c>
      <c r="D12" s="7" t="s">
        <v>161</v>
      </c>
      <c r="E12" s="7" t="s">
        <v>162</v>
      </c>
      <c r="F12" s="7" t="s">
        <v>163</v>
      </c>
    </row>
    <row r="13" spans="1:6" ht="15" customHeight="1">
      <c r="A13" s="6" t="s">
        <v>164</v>
      </c>
      <c r="B13" s="6" t="s">
        <v>165</v>
      </c>
      <c r="C13" s="6" t="s">
        <v>166</v>
      </c>
      <c r="D13" s="6" t="s">
        <v>167</v>
      </c>
      <c r="E13" s="6" t="s">
        <v>168</v>
      </c>
      <c r="F13" s="6" t="s">
        <v>129</v>
      </c>
    </row>
    <row r="14" spans="1:6" ht="15" customHeight="1">
      <c r="A14" s="7" t="s">
        <v>169</v>
      </c>
      <c r="B14" s="7" t="s">
        <v>170</v>
      </c>
      <c r="C14" s="7" t="s">
        <v>171</v>
      </c>
      <c r="D14" s="7" t="s">
        <v>172</v>
      </c>
      <c r="E14" s="7" t="s">
        <v>173</v>
      </c>
      <c r="F14" s="7" t="s">
        <v>129</v>
      </c>
    </row>
    <row r="15" spans="1:6" ht="15" customHeight="1">
      <c r="A15" s="6" t="s">
        <v>174</v>
      </c>
      <c r="B15" s="6" t="s">
        <v>175</v>
      </c>
      <c r="C15" s="6" t="s">
        <v>176</v>
      </c>
      <c r="D15" s="6" t="s">
        <v>177</v>
      </c>
      <c r="E15" s="6" t="s">
        <v>178</v>
      </c>
      <c r="F15" s="6" t="s">
        <v>123</v>
      </c>
    </row>
    <row r="16" spans="1:6" ht="15" customHeight="1">
      <c r="A16" s="7" t="s">
        <v>179</v>
      </c>
      <c r="B16" s="7" t="s">
        <v>180</v>
      </c>
      <c r="C16" s="7" t="s">
        <v>181</v>
      </c>
      <c r="D16" s="7" t="s">
        <v>182</v>
      </c>
      <c r="E16" s="7" t="s">
        <v>183</v>
      </c>
      <c r="F16" s="7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showGridLines="0" workbookViewId="0"/>
  </sheetViews>
  <sheetFormatPr baseColWidth="10" defaultColWidth="8.83203125" defaultRowHeight="15"/>
  <cols>
    <col min="1" max="1" width="14" customWidth="1"/>
    <col min="2" max="2" width="34" customWidth="1"/>
    <col min="3" max="5" width="24" customWidth="1"/>
    <col min="6" max="6" width="14" customWidth="1"/>
  </cols>
  <sheetData>
    <row r="1" spans="1:6" ht="15" customHeight="1">
      <c r="A1" s="5" t="s">
        <v>15</v>
      </c>
      <c r="B1" s="5" t="s">
        <v>185</v>
      </c>
      <c r="C1" s="5" t="s">
        <v>186</v>
      </c>
      <c r="D1" s="5" t="s">
        <v>187</v>
      </c>
      <c r="E1" s="5" t="s">
        <v>188</v>
      </c>
      <c r="F1" s="5" t="s">
        <v>34</v>
      </c>
    </row>
    <row r="2" spans="1:6" ht="15" customHeight="1">
      <c r="A2" s="7" t="s">
        <v>189</v>
      </c>
      <c r="B2" s="7" t="s">
        <v>190</v>
      </c>
      <c r="C2" s="7" t="s">
        <v>191</v>
      </c>
      <c r="D2" s="7" t="s">
        <v>192</v>
      </c>
      <c r="E2" s="7" t="s">
        <v>193</v>
      </c>
      <c r="F2" s="7" t="s">
        <v>189</v>
      </c>
    </row>
    <row r="3" spans="1:6" ht="21.5" customHeight="1">
      <c r="A3" s="6" t="s">
        <v>194</v>
      </c>
      <c r="B3" s="6" t="s">
        <v>195</v>
      </c>
      <c r="C3" s="6" t="s">
        <v>196</v>
      </c>
      <c r="D3" s="6" t="s">
        <v>197</v>
      </c>
      <c r="E3" s="6" t="s">
        <v>198</v>
      </c>
      <c r="F3" s="6" t="s">
        <v>194</v>
      </c>
    </row>
    <row r="4" spans="1:6" ht="15" customHeight="1">
      <c r="A4" s="7" t="s">
        <v>199</v>
      </c>
      <c r="B4" s="7" t="s">
        <v>200</v>
      </c>
      <c r="C4" s="7" t="s">
        <v>201</v>
      </c>
      <c r="D4" s="7" t="s">
        <v>202</v>
      </c>
      <c r="E4" s="7" t="s">
        <v>203</v>
      </c>
      <c r="F4" s="7" t="s">
        <v>199</v>
      </c>
    </row>
    <row r="5" spans="1:6" ht="15" customHeight="1">
      <c r="A5" s="6" t="s">
        <v>204</v>
      </c>
      <c r="B5" s="6" t="s">
        <v>205</v>
      </c>
      <c r="C5" s="6" t="s">
        <v>206</v>
      </c>
      <c r="D5" s="6" t="s">
        <v>207</v>
      </c>
      <c r="E5" s="6" t="s">
        <v>208</v>
      </c>
      <c r="F5" s="6" t="s">
        <v>204</v>
      </c>
    </row>
    <row r="6" spans="1:6" ht="15" customHeight="1">
      <c r="A6" s="7" t="s">
        <v>209</v>
      </c>
      <c r="B6" s="7" t="s">
        <v>210</v>
      </c>
      <c r="C6" s="7" t="s">
        <v>211</v>
      </c>
      <c r="D6" s="7" t="s">
        <v>212</v>
      </c>
      <c r="E6" s="7" t="s">
        <v>213</v>
      </c>
      <c r="F6" s="7" t="s">
        <v>209</v>
      </c>
    </row>
    <row r="7" spans="1:6" ht="15" customHeight="1">
      <c r="A7" s="6" t="s">
        <v>214</v>
      </c>
      <c r="B7" s="6" t="s">
        <v>215</v>
      </c>
      <c r="C7" s="6" t="s">
        <v>216</v>
      </c>
      <c r="D7" s="6" t="s">
        <v>217</v>
      </c>
      <c r="E7" s="6" t="s">
        <v>218</v>
      </c>
      <c r="F7" s="6" t="s">
        <v>214</v>
      </c>
    </row>
    <row r="8" spans="1:6" ht="15" customHeight="1">
      <c r="A8" s="7" t="s">
        <v>219</v>
      </c>
      <c r="B8" s="7" t="s">
        <v>220</v>
      </c>
      <c r="C8" s="7" t="s">
        <v>221</v>
      </c>
      <c r="D8" s="7" t="s">
        <v>222</v>
      </c>
      <c r="E8" s="7" t="s">
        <v>223</v>
      </c>
      <c r="F8" s="7" t="s">
        <v>219</v>
      </c>
    </row>
    <row r="9" spans="1:6" ht="15" customHeight="1">
      <c r="A9" s="6" t="s">
        <v>224</v>
      </c>
      <c r="B9" s="6" t="s">
        <v>225</v>
      </c>
      <c r="C9" s="6" t="s">
        <v>226</v>
      </c>
      <c r="D9" s="6" t="s">
        <v>227</v>
      </c>
      <c r="E9" s="6" t="s">
        <v>228</v>
      </c>
      <c r="F9" s="6" t="s">
        <v>224</v>
      </c>
    </row>
    <row r="10" spans="1:6" ht="15" customHeight="1">
      <c r="A10" s="7" t="s">
        <v>229</v>
      </c>
      <c r="B10" s="7" t="s">
        <v>230</v>
      </c>
      <c r="C10" s="7" t="s">
        <v>231</v>
      </c>
      <c r="D10" s="7" t="s">
        <v>232</v>
      </c>
      <c r="E10" s="7" t="s">
        <v>233</v>
      </c>
      <c r="F10" s="7" t="s">
        <v>229</v>
      </c>
    </row>
    <row r="11" spans="1:6" ht="15" customHeight="1">
      <c r="A11" s="6" t="s">
        <v>234</v>
      </c>
      <c r="B11" s="6" t="s">
        <v>235</v>
      </c>
      <c r="C11" s="6" t="s">
        <v>236</v>
      </c>
      <c r="D11" s="6" t="s">
        <v>237</v>
      </c>
      <c r="E11" s="6" t="s">
        <v>238</v>
      </c>
      <c r="F11" s="6" t="s">
        <v>234</v>
      </c>
    </row>
    <row r="12" spans="1:6" ht="15" customHeight="1">
      <c r="A12" s="7" t="s">
        <v>239</v>
      </c>
      <c r="B12" s="7" t="s">
        <v>240</v>
      </c>
      <c r="C12" s="7" t="s">
        <v>241</v>
      </c>
      <c r="D12" s="7" t="s">
        <v>242</v>
      </c>
      <c r="E12" s="7" t="s">
        <v>243</v>
      </c>
      <c r="F12" s="7" t="s">
        <v>239</v>
      </c>
    </row>
    <row r="13" spans="1:6" ht="15" customHeight="1">
      <c r="A13" s="6" t="s">
        <v>244</v>
      </c>
      <c r="B13" s="6" t="s">
        <v>245</v>
      </c>
      <c r="C13" s="6" t="s">
        <v>246</v>
      </c>
      <c r="D13" s="6" t="s">
        <v>247</v>
      </c>
      <c r="E13" s="6" t="s">
        <v>248</v>
      </c>
      <c r="F13" s="6" t="s">
        <v>244</v>
      </c>
    </row>
    <row r="14" spans="1:6" ht="15" customHeight="1">
      <c r="A14" s="7" t="s">
        <v>249</v>
      </c>
      <c r="B14" s="7" t="s">
        <v>250</v>
      </c>
      <c r="C14" s="7" t="s">
        <v>251</v>
      </c>
      <c r="D14" s="7" t="s">
        <v>252</v>
      </c>
      <c r="E14" s="7" t="s">
        <v>253</v>
      </c>
      <c r="F14" s="7" t="s">
        <v>249</v>
      </c>
    </row>
    <row r="15" spans="1:6" ht="15" customHeight="1">
      <c r="A15" s="6" t="s">
        <v>254</v>
      </c>
      <c r="B15" s="6" t="s">
        <v>255</v>
      </c>
      <c r="C15" s="6" t="s">
        <v>256</v>
      </c>
      <c r="D15" s="6" t="s">
        <v>257</v>
      </c>
      <c r="E15" s="6" t="s">
        <v>258</v>
      </c>
      <c r="F15" s="6" t="s">
        <v>254</v>
      </c>
    </row>
    <row r="16" spans="1:6" ht="15" customHeight="1">
      <c r="A16" s="7" t="s">
        <v>259</v>
      </c>
      <c r="B16" s="7" t="s">
        <v>260</v>
      </c>
      <c r="C16" s="7" t="s">
        <v>261</v>
      </c>
      <c r="D16" s="7" t="s">
        <v>262</v>
      </c>
      <c r="E16" s="7" t="s">
        <v>263</v>
      </c>
      <c r="F16" s="7" t="s">
        <v>259</v>
      </c>
    </row>
    <row r="17" spans="1:6" ht="15" customHeight="1">
      <c r="A17" s="6" t="s">
        <v>264</v>
      </c>
      <c r="B17" s="6" t="s">
        <v>265</v>
      </c>
      <c r="C17" s="6" t="s">
        <v>266</v>
      </c>
      <c r="D17" s="6" t="s">
        <v>267</v>
      </c>
      <c r="E17" s="6" t="s">
        <v>268</v>
      </c>
      <c r="F17" s="6" t="s">
        <v>264</v>
      </c>
    </row>
    <row r="18" spans="1:6" ht="15" customHeight="1">
      <c r="A18" s="7" t="s">
        <v>269</v>
      </c>
      <c r="B18" s="7" t="s">
        <v>270</v>
      </c>
      <c r="C18" s="7" t="s">
        <v>271</v>
      </c>
      <c r="D18" s="7" t="s">
        <v>272</v>
      </c>
      <c r="E18" s="7" t="s">
        <v>273</v>
      </c>
      <c r="F18" s="7" t="s">
        <v>269</v>
      </c>
    </row>
    <row r="19" spans="1:6" ht="15" customHeight="1">
      <c r="A19" s="6" t="s">
        <v>274</v>
      </c>
      <c r="B19" s="6" t="s">
        <v>275</v>
      </c>
      <c r="C19" s="6" t="s">
        <v>276</v>
      </c>
      <c r="D19" s="6" t="s">
        <v>277</v>
      </c>
      <c r="E19" s="6" t="s">
        <v>278</v>
      </c>
      <c r="F19" s="6" t="s">
        <v>274</v>
      </c>
    </row>
    <row r="20" spans="1:6" ht="15" customHeight="1">
      <c r="A20" s="7" t="s">
        <v>279</v>
      </c>
      <c r="B20" s="7" t="s">
        <v>280</v>
      </c>
      <c r="C20" s="7" t="s">
        <v>281</v>
      </c>
      <c r="D20" s="7" t="s">
        <v>282</v>
      </c>
      <c r="E20" s="7" t="s">
        <v>283</v>
      </c>
      <c r="F20" s="7" t="s">
        <v>279</v>
      </c>
    </row>
    <row r="21" spans="1:6" ht="15" customHeight="1">
      <c r="A21" s="6" t="s">
        <v>284</v>
      </c>
      <c r="B21" s="6" t="s">
        <v>285</v>
      </c>
      <c r="C21" s="6" t="s">
        <v>286</v>
      </c>
      <c r="D21" s="6" t="s">
        <v>287</v>
      </c>
      <c r="E21" s="6" t="s">
        <v>288</v>
      </c>
      <c r="F21" s="6" t="s">
        <v>284</v>
      </c>
    </row>
    <row r="22" spans="1:6" ht="15" customHeight="1">
      <c r="A22" s="7" t="s">
        <v>289</v>
      </c>
      <c r="B22" s="7" t="s">
        <v>290</v>
      </c>
      <c r="C22" s="7" t="s">
        <v>291</v>
      </c>
      <c r="D22" s="7" t="s">
        <v>292</v>
      </c>
      <c r="E22" s="7" t="s">
        <v>293</v>
      </c>
      <c r="F22" s="7" t="s">
        <v>289</v>
      </c>
    </row>
    <row r="23" spans="1:6" ht="15" customHeight="1">
      <c r="A23" s="6" t="s">
        <v>294</v>
      </c>
      <c r="B23" s="6" t="s">
        <v>295</v>
      </c>
      <c r="C23" s="6" t="s">
        <v>296</v>
      </c>
      <c r="D23" s="6" t="s">
        <v>297</v>
      </c>
      <c r="E23" s="6" t="s">
        <v>298</v>
      </c>
      <c r="F23" s="6" t="s">
        <v>294</v>
      </c>
    </row>
    <row r="24" spans="1:6" ht="15" customHeight="1">
      <c r="A24" s="7" t="s">
        <v>299</v>
      </c>
      <c r="B24" s="7" t="s">
        <v>300</v>
      </c>
      <c r="C24" s="7" t="s">
        <v>301</v>
      </c>
      <c r="D24" s="7" t="s">
        <v>302</v>
      </c>
      <c r="E24" s="7" t="s">
        <v>303</v>
      </c>
      <c r="F24" s="7" t="s">
        <v>299</v>
      </c>
    </row>
    <row r="25" spans="1:6" ht="15" customHeight="1">
      <c r="A25" s="6" t="s">
        <v>304</v>
      </c>
      <c r="B25" s="6" t="s">
        <v>305</v>
      </c>
      <c r="C25" s="6" t="s">
        <v>306</v>
      </c>
      <c r="D25" s="6" t="s">
        <v>307</v>
      </c>
      <c r="E25" s="6" t="s">
        <v>308</v>
      </c>
      <c r="F25" s="6" t="s">
        <v>304</v>
      </c>
    </row>
    <row r="26" spans="1:6" ht="15" customHeight="1">
      <c r="A26" s="7" t="s">
        <v>309</v>
      </c>
      <c r="B26" s="7" t="s">
        <v>310</v>
      </c>
      <c r="C26" s="7" t="s">
        <v>311</v>
      </c>
      <c r="D26" s="7" t="s">
        <v>312</v>
      </c>
      <c r="E26" s="7" t="s">
        <v>313</v>
      </c>
      <c r="F26" s="7" t="s">
        <v>309</v>
      </c>
    </row>
    <row r="27" spans="1:6" ht="15" customHeight="1">
      <c r="A27" s="6" t="s">
        <v>314</v>
      </c>
      <c r="B27" s="6" t="s">
        <v>315</v>
      </c>
      <c r="C27" s="6" t="s">
        <v>316</v>
      </c>
      <c r="D27" s="6" t="s">
        <v>317</v>
      </c>
      <c r="E27" s="6" t="s">
        <v>318</v>
      </c>
      <c r="F27" s="6" t="s">
        <v>314</v>
      </c>
    </row>
    <row r="28" spans="1:6" ht="15" customHeight="1">
      <c r="A28" s="7" t="s">
        <v>319</v>
      </c>
      <c r="B28" s="7" t="s">
        <v>320</v>
      </c>
      <c r="C28" s="7" t="s">
        <v>321</v>
      </c>
      <c r="D28" s="7" t="s">
        <v>322</v>
      </c>
      <c r="E28" s="7" t="s">
        <v>323</v>
      </c>
      <c r="F28" s="7" t="s">
        <v>319</v>
      </c>
    </row>
    <row r="29" spans="1:6" ht="15" customHeight="1">
      <c r="A29" s="6" t="s">
        <v>324</v>
      </c>
      <c r="B29" s="6" t="s">
        <v>325</v>
      </c>
      <c r="C29" s="6" t="s">
        <v>326</v>
      </c>
      <c r="D29" s="6" t="s">
        <v>327</v>
      </c>
      <c r="E29" s="6" t="s">
        <v>328</v>
      </c>
      <c r="F29" s="6" t="s">
        <v>324</v>
      </c>
    </row>
    <row r="30" spans="1:6" ht="15" customHeight="1">
      <c r="A30" s="7" t="s">
        <v>329</v>
      </c>
      <c r="B30" s="7" t="s">
        <v>330</v>
      </c>
      <c r="C30" s="7" t="s">
        <v>331</v>
      </c>
      <c r="D30" s="7" t="s">
        <v>332</v>
      </c>
      <c r="E30" s="7" t="s">
        <v>333</v>
      </c>
      <c r="F30" s="7" t="s">
        <v>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showGridLines="0" workbookViewId="0"/>
  </sheetViews>
  <sheetFormatPr baseColWidth="10" defaultColWidth="8.83203125" defaultRowHeight="15"/>
  <cols>
    <col min="1" max="1" width="14" customWidth="1"/>
    <col min="2" max="2" width="24" customWidth="1"/>
    <col min="3" max="3" width="14" customWidth="1"/>
    <col min="4" max="4" width="24" customWidth="1"/>
  </cols>
  <sheetData>
    <row r="1" spans="1:4" ht="15" customHeight="1">
      <c r="A1" s="5" t="s">
        <v>15</v>
      </c>
      <c r="B1" s="5" t="s">
        <v>621</v>
      </c>
      <c r="C1" s="5" t="s">
        <v>622</v>
      </c>
      <c r="D1" s="5" t="s">
        <v>623</v>
      </c>
    </row>
    <row r="2" spans="1:4" ht="15" customHeight="1">
      <c r="A2" s="7" t="s">
        <v>624</v>
      </c>
      <c r="B2" s="7" t="s">
        <v>625</v>
      </c>
      <c r="C2" s="7" t="s">
        <v>626</v>
      </c>
      <c r="D2" s="7" t="s">
        <v>627</v>
      </c>
    </row>
    <row r="3" spans="1:4" ht="21.5" customHeight="1">
      <c r="A3" s="6" t="s">
        <v>628</v>
      </c>
      <c r="B3" s="6" t="s">
        <v>629</v>
      </c>
      <c r="C3" s="6" t="s">
        <v>626</v>
      </c>
      <c r="D3" s="6" t="s">
        <v>630</v>
      </c>
    </row>
    <row r="4" spans="1:4" ht="15" customHeight="1">
      <c r="A4" s="7" t="s">
        <v>631</v>
      </c>
      <c r="B4" s="7" t="s">
        <v>632</v>
      </c>
      <c r="C4" s="7" t="s">
        <v>626</v>
      </c>
      <c r="D4" s="7" t="s">
        <v>633</v>
      </c>
    </row>
    <row r="5" spans="1:4" ht="21.5" customHeight="1">
      <c r="A5" s="6" t="s">
        <v>634</v>
      </c>
      <c r="B5" s="6" t="s">
        <v>635</v>
      </c>
      <c r="C5" s="6" t="s">
        <v>626</v>
      </c>
      <c r="D5" s="6" t="s">
        <v>636</v>
      </c>
    </row>
    <row r="6" spans="1:4" ht="21.5" customHeight="1">
      <c r="A6" s="7" t="s">
        <v>637</v>
      </c>
      <c r="B6" s="7" t="s">
        <v>638</v>
      </c>
      <c r="C6" s="7" t="s">
        <v>639</v>
      </c>
      <c r="D6" s="7" t="s">
        <v>640</v>
      </c>
    </row>
    <row r="7" spans="1:4" ht="21.5" customHeight="1">
      <c r="A7" s="6" t="s">
        <v>641</v>
      </c>
      <c r="B7" s="6" t="s">
        <v>642</v>
      </c>
      <c r="C7" s="6" t="s">
        <v>626</v>
      </c>
      <c r="D7" s="6" t="s">
        <v>643</v>
      </c>
    </row>
    <row r="8" spans="1:4" ht="21.5" customHeight="1">
      <c r="A8" s="7" t="s">
        <v>644</v>
      </c>
      <c r="B8" s="7" t="s">
        <v>645</v>
      </c>
      <c r="C8" s="7" t="s">
        <v>646</v>
      </c>
      <c r="D8" s="7" t="s">
        <v>647</v>
      </c>
    </row>
    <row r="9" spans="1:4" ht="21.5" customHeight="1">
      <c r="A9" s="6" t="s">
        <v>648</v>
      </c>
      <c r="B9" s="6" t="s">
        <v>649</v>
      </c>
      <c r="C9" s="6" t="s">
        <v>646</v>
      </c>
      <c r="D9" s="6" t="s">
        <v>650</v>
      </c>
    </row>
    <row r="10" spans="1:4" ht="15" customHeight="1">
      <c r="A10" s="7" t="s">
        <v>651</v>
      </c>
      <c r="B10" s="7" t="s">
        <v>652</v>
      </c>
      <c r="C10" s="7" t="s">
        <v>646</v>
      </c>
      <c r="D10" s="7" t="s">
        <v>653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showGridLines="0" workbookViewId="0"/>
  </sheetViews>
  <sheetFormatPr baseColWidth="10" defaultColWidth="8.83203125" defaultRowHeight="15"/>
  <cols>
    <col min="1" max="1" width="14" customWidth="1"/>
    <col min="2" max="5" width="24" customWidth="1"/>
  </cols>
  <sheetData>
    <row r="1" spans="1:5" ht="15" customHeight="1">
      <c r="A1" s="5" t="s">
        <v>15</v>
      </c>
      <c r="B1" s="5" t="s">
        <v>334</v>
      </c>
      <c r="C1" s="5" t="s">
        <v>335</v>
      </c>
      <c r="D1" s="5" t="s">
        <v>336</v>
      </c>
      <c r="E1" s="5" t="s">
        <v>337</v>
      </c>
    </row>
    <row r="2" spans="1:5" ht="21.5" customHeight="1">
      <c r="A2" s="7" t="s">
        <v>338</v>
      </c>
      <c r="B2" s="7" t="s">
        <v>339</v>
      </c>
      <c r="C2" s="7" t="s">
        <v>340</v>
      </c>
      <c r="D2" s="7" t="s">
        <v>341</v>
      </c>
      <c r="E2" s="7" t="s">
        <v>342</v>
      </c>
    </row>
    <row r="3" spans="1:5" ht="21.5" customHeight="1">
      <c r="A3" s="6" t="s">
        <v>343</v>
      </c>
      <c r="B3" s="6" t="s">
        <v>344</v>
      </c>
      <c r="C3" s="6" t="s">
        <v>345</v>
      </c>
      <c r="D3" s="6" t="s">
        <v>346</v>
      </c>
      <c r="E3" s="6" t="s">
        <v>347</v>
      </c>
    </row>
    <row r="4" spans="1:5" ht="21.5" customHeight="1">
      <c r="A4" s="7" t="s">
        <v>348</v>
      </c>
      <c r="B4" s="7" t="s">
        <v>349</v>
      </c>
      <c r="C4" s="7" t="s">
        <v>350</v>
      </c>
      <c r="D4" s="7" t="s">
        <v>351</v>
      </c>
      <c r="E4" s="7" t="s">
        <v>352</v>
      </c>
    </row>
    <row r="5" spans="1:5" ht="21.5" customHeight="1">
      <c r="A5" s="6" t="s">
        <v>353</v>
      </c>
      <c r="B5" s="6" t="s">
        <v>354</v>
      </c>
      <c r="C5" s="6" t="s">
        <v>355</v>
      </c>
      <c r="D5" s="6" t="s">
        <v>356</v>
      </c>
      <c r="E5" s="6" t="s">
        <v>357</v>
      </c>
    </row>
    <row r="6" spans="1:5" ht="21.5" customHeight="1">
      <c r="A6" s="7" t="s">
        <v>358</v>
      </c>
      <c r="B6" s="7" t="s">
        <v>359</v>
      </c>
      <c r="C6" s="7" t="s">
        <v>360</v>
      </c>
      <c r="D6" s="7" t="s">
        <v>361</v>
      </c>
      <c r="E6" s="7" t="s">
        <v>362</v>
      </c>
    </row>
    <row r="7" spans="1:5" ht="21.5" customHeight="1">
      <c r="A7" s="6" t="s">
        <v>363</v>
      </c>
      <c r="B7" s="6" t="s">
        <v>364</v>
      </c>
      <c r="C7" s="6" t="s">
        <v>365</v>
      </c>
      <c r="D7" s="6" t="s">
        <v>366</v>
      </c>
      <c r="E7" s="6" t="s">
        <v>367</v>
      </c>
    </row>
    <row r="8" spans="1:5" ht="15" customHeight="1">
      <c r="A8" s="7" t="s">
        <v>368</v>
      </c>
      <c r="B8" s="7" t="s">
        <v>369</v>
      </c>
      <c r="C8" s="7" t="s">
        <v>370</v>
      </c>
      <c r="D8" s="7" t="s">
        <v>371</v>
      </c>
      <c r="E8" s="7" t="s">
        <v>372</v>
      </c>
    </row>
    <row r="9" spans="1:5" ht="21.5" customHeight="1">
      <c r="A9" s="6" t="s">
        <v>373</v>
      </c>
      <c r="B9" s="6" t="s">
        <v>374</v>
      </c>
      <c r="C9" s="6" t="s">
        <v>375</v>
      </c>
      <c r="D9" s="6" t="s">
        <v>376</v>
      </c>
      <c r="E9" s="6" t="s">
        <v>377</v>
      </c>
    </row>
    <row r="10" spans="1:5" ht="15" customHeight="1">
      <c r="A10" s="7" t="s">
        <v>378</v>
      </c>
      <c r="B10" s="7" t="s">
        <v>379</v>
      </c>
      <c r="C10" s="7" t="s">
        <v>380</v>
      </c>
      <c r="D10" s="7" t="s">
        <v>381</v>
      </c>
      <c r="E10" s="7" t="s">
        <v>382</v>
      </c>
    </row>
    <row r="11" spans="1:5" ht="21.5" customHeight="1">
      <c r="A11" s="6" t="s">
        <v>383</v>
      </c>
      <c r="B11" s="6" t="s">
        <v>384</v>
      </c>
      <c r="C11" s="6" t="s">
        <v>385</v>
      </c>
      <c r="D11" s="6" t="s">
        <v>386</v>
      </c>
      <c r="E11" s="6" t="s">
        <v>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showGridLines="0" workbookViewId="0"/>
  </sheetViews>
  <sheetFormatPr baseColWidth="10" defaultColWidth="8.83203125" defaultRowHeight="15"/>
  <cols>
    <col min="1" max="1" width="14" customWidth="1"/>
    <col min="2" max="2" width="24" customWidth="1"/>
    <col min="3" max="4" width="34" customWidth="1"/>
    <col min="5" max="5" width="14" customWidth="1"/>
  </cols>
  <sheetData>
    <row r="1" spans="1:5" ht="15" customHeight="1">
      <c r="A1" s="5" t="s">
        <v>15</v>
      </c>
      <c r="B1" s="5" t="s">
        <v>388</v>
      </c>
      <c r="C1" s="5" t="s">
        <v>389</v>
      </c>
      <c r="D1" s="5" t="s">
        <v>13</v>
      </c>
      <c r="E1" s="5" t="s">
        <v>390</v>
      </c>
    </row>
    <row r="2" spans="1:5" ht="21.5" customHeight="1">
      <c r="A2" s="7" t="s">
        <v>391</v>
      </c>
      <c r="B2" s="7" t="s">
        <v>392</v>
      </c>
      <c r="C2" s="7" t="s">
        <v>393</v>
      </c>
      <c r="D2" s="7" t="s">
        <v>394</v>
      </c>
      <c r="E2" s="7" t="s">
        <v>395</v>
      </c>
    </row>
    <row r="3" spans="1:5" ht="15" customHeight="1">
      <c r="A3" s="6" t="s">
        <v>396</v>
      </c>
      <c r="B3" s="6" t="s">
        <v>397</v>
      </c>
      <c r="C3" s="6" t="s">
        <v>398</v>
      </c>
      <c r="D3" s="6" t="s">
        <v>399</v>
      </c>
      <c r="E3" s="6" t="s">
        <v>400</v>
      </c>
    </row>
    <row r="4" spans="1:5" ht="15" customHeight="1">
      <c r="A4" s="7" t="s">
        <v>401</v>
      </c>
      <c r="B4" s="7" t="s">
        <v>402</v>
      </c>
      <c r="C4" s="7" t="s">
        <v>403</v>
      </c>
      <c r="D4" s="7" t="s">
        <v>404</v>
      </c>
      <c r="E4" s="7" t="s">
        <v>405</v>
      </c>
    </row>
    <row r="5" spans="1:5" ht="15" customHeight="1">
      <c r="A5" s="6" t="s">
        <v>406</v>
      </c>
      <c r="B5" s="6" t="s">
        <v>407</v>
      </c>
      <c r="C5" s="6" t="s">
        <v>408</v>
      </c>
      <c r="D5" s="6" t="s">
        <v>409</v>
      </c>
      <c r="E5" s="6" t="s">
        <v>410</v>
      </c>
    </row>
    <row r="6" spans="1:5" ht="21.5" customHeight="1">
      <c r="A6" s="7" t="s">
        <v>411</v>
      </c>
      <c r="B6" s="7" t="s">
        <v>412</v>
      </c>
      <c r="C6" s="7" t="s">
        <v>413</v>
      </c>
      <c r="D6" s="7" t="s">
        <v>414</v>
      </c>
      <c r="E6" s="7" t="s">
        <v>415</v>
      </c>
    </row>
    <row r="7" spans="1:5" ht="15" customHeight="1">
      <c r="A7" s="6" t="s">
        <v>416</v>
      </c>
      <c r="B7" s="6" t="s">
        <v>417</v>
      </c>
      <c r="C7" s="6" t="s">
        <v>418</v>
      </c>
      <c r="D7" s="6" t="s">
        <v>419</v>
      </c>
      <c r="E7" s="6" t="s">
        <v>420</v>
      </c>
    </row>
    <row r="8" spans="1:5" ht="15" customHeight="1">
      <c r="A8" s="7" t="s">
        <v>421</v>
      </c>
      <c r="B8" s="7" t="s">
        <v>422</v>
      </c>
      <c r="C8" s="7" t="s">
        <v>423</v>
      </c>
      <c r="D8" s="7" t="s">
        <v>424</v>
      </c>
      <c r="E8" s="7" t="s">
        <v>425</v>
      </c>
    </row>
    <row r="9" spans="1:5" ht="21.5" customHeight="1">
      <c r="A9" s="6" t="s">
        <v>426</v>
      </c>
      <c r="B9" s="6" t="s">
        <v>427</v>
      </c>
      <c r="C9" s="6" t="s">
        <v>428</v>
      </c>
      <c r="D9" s="6" t="s">
        <v>429</v>
      </c>
      <c r="E9" s="6" t="s">
        <v>430</v>
      </c>
    </row>
    <row r="10" spans="1:5" ht="21.5" customHeight="1">
      <c r="A10" s="7" t="s">
        <v>431</v>
      </c>
      <c r="B10" s="7" t="s">
        <v>432</v>
      </c>
      <c r="C10" s="7" t="s">
        <v>433</v>
      </c>
      <c r="D10" s="7" t="s">
        <v>434</v>
      </c>
      <c r="E10" s="7" t="s">
        <v>435</v>
      </c>
    </row>
    <row r="11" spans="1:5" ht="21.5" customHeight="1">
      <c r="A11" s="6" t="s">
        <v>436</v>
      </c>
      <c r="B11" s="6" t="s">
        <v>437</v>
      </c>
      <c r="C11" s="6" t="s">
        <v>438</v>
      </c>
      <c r="D11" s="6" t="s">
        <v>439</v>
      </c>
      <c r="E11" s="6" t="s">
        <v>440</v>
      </c>
    </row>
    <row r="12" spans="1:5" ht="21.5" customHeight="1">
      <c r="A12" s="7" t="s">
        <v>441</v>
      </c>
      <c r="B12" s="7" t="s">
        <v>442</v>
      </c>
      <c r="C12" s="7" t="s">
        <v>443</v>
      </c>
      <c r="D12" s="7" t="s">
        <v>444</v>
      </c>
      <c r="E12" s="7" t="s">
        <v>445</v>
      </c>
    </row>
    <row r="13" spans="1:5" ht="21.5" customHeight="1">
      <c r="A13" s="6" t="s">
        <v>446</v>
      </c>
      <c r="B13" s="6" t="s">
        <v>447</v>
      </c>
      <c r="C13" s="6" t="s">
        <v>448</v>
      </c>
      <c r="D13" s="6" t="s">
        <v>449</v>
      </c>
      <c r="E13" s="6" t="s">
        <v>450</v>
      </c>
    </row>
    <row r="14" spans="1:5" ht="21.5" customHeight="1">
      <c r="A14" s="7" t="s">
        <v>451</v>
      </c>
      <c r="B14" s="7" t="s">
        <v>452</v>
      </c>
      <c r="C14" s="7" t="s">
        <v>453</v>
      </c>
      <c r="D14" s="7" t="s">
        <v>454</v>
      </c>
      <c r="E14" s="7" t="s">
        <v>455</v>
      </c>
    </row>
    <row r="15" spans="1:5" ht="21.5" customHeight="1">
      <c r="A15" s="6" t="s">
        <v>456</v>
      </c>
      <c r="B15" s="6" t="s">
        <v>457</v>
      </c>
      <c r="C15" s="6" t="s">
        <v>458</v>
      </c>
      <c r="D15" s="6" t="s">
        <v>459</v>
      </c>
      <c r="E15" s="6" t="s">
        <v>460</v>
      </c>
    </row>
    <row r="16" spans="1:5" ht="21.5" customHeight="1">
      <c r="A16" s="7" t="s">
        <v>461</v>
      </c>
      <c r="B16" s="7" t="s">
        <v>287</v>
      </c>
      <c r="C16" s="7" t="s">
        <v>462</v>
      </c>
      <c r="D16" s="7" t="s">
        <v>463</v>
      </c>
      <c r="E16" s="7" t="s">
        <v>464</v>
      </c>
    </row>
    <row r="17" spans="1:5" ht="21.5" customHeight="1">
      <c r="A17" s="6" t="s">
        <v>465</v>
      </c>
      <c r="B17" s="6" t="s">
        <v>466</v>
      </c>
      <c r="C17" s="6" t="s">
        <v>467</v>
      </c>
      <c r="D17" s="6" t="s">
        <v>468</v>
      </c>
      <c r="E17" s="6" t="s">
        <v>469</v>
      </c>
    </row>
    <row r="18" spans="1:5" ht="21.5" customHeight="1">
      <c r="A18" s="7" t="s">
        <v>470</v>
      </c>
      <c r="B18" s="7" t="s">
        <v>471</v>
      </c>
      <c r="C18" s="7" t="s">
        <v>472</v>
      </c>
      <c r="D18" s="7" t="s">
        <v>473</v>
      </c>
      <c r="E18" s="7" t="s">
        <v>474</v>
      </c>
    </row>
    <row r="19" spans="1:5" ht="21.5" customHeight="1">
      <c r="A19" s="6" t="s">
        <v>475</v>
      </c>
      <c r="B19" s="6" t="s">
        <v>476</v>
      </c>
      <c r="C19" s="6" t="s">
        <v>477</v>
      </c>
      <c r="D19" s="6" t="s">
        <v>478</v>
      </c>
      <c r="E19" s="6" t="s">
        <v>479</v>
      </c>
    </row>
    <row r="20" spans="1:5" ht="21.5" customHeight="1">
      <c r="A20" s="7" t="s">
        <v>480</v>
      </c>
      <c r="B20" s="7" t="s">
        <v>307</v>
      </c>
      <c r="C20" s="7" t="s">
        <v>481</v>
      </c>
      <c r="D20" s="7" t="s">
        <v>482</v>
      </c>
      <c r="E20" s="7" t="s">
        <v>483</v>
      </c>
    </row>
    <row r="21" spans="1:5" ht="21.5" customHeight="1">
      <c r="A21" s="6" t="s">
        <v>484</v>
      </c>
      <c r="B21" s="6" t="s">
        <v>485</v>
      </c>
      <c r="C21" s="6" t="s">
        <v>486</v>
      </c>
      <c r="D21" s="6" t="s">
        <v>487</v>
      </c>
      <c r="E21" s="6" t="s">
        <v>488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showGridLines="0" workbookViewId="0"/>
  </sheetViews>
  <sheetFormatPr baseColWidth="10" defaultColWidth="8.83203125" defaultRowHeight="15"/>
  <cols>
    <col min="1" max="1" width="14" customWidth="1"/>
    <col min="2" max="2" width="24" customWidth="1"/>
    <col min="3" max="3" width="14" customWidth="1"/>
    <col min="4" max="4" width="24" customWidth="1"/>
    <col min="5" max="5" width="34" customWidth="1"/>
  </cols>
  <sheetData>
    <row r="1" spans="1:5" ht="15" customHeight="1">
      <c r="A1" s="5" t="s">
        <v>15</v>
      </c>
      <c r="B1" s="5" t="s">
        <v>489</v>
      </c>
      <c r="C1" s="5" t="s">
        <v>490</v>
      </c>
      <c r="D1" s="5" t="s">
        <v>491</v>
      </c>
      <c r="E1" s="5" t="s">
        <v>13</v>
      </c>
    </row>
    <row r="2" spans="1:5" ht="15" customHeight="1">
      <c r="A2" s="7" t="s">
        <v>492</v>
      </c>
      <c r="B2" s="7" t="s">
        <v>412</v>
      </c>
      <c r="C2" s="7" t="s">
        <v>493</v>
      </c>
      <c r="D2" s="7" t="s">
        <v>494</v>
      </c>
      <c r="E2" s="7" t="s">
        <v>495</v>
      </c>
    </row>
    <row r="3" spans="1:5" ht="15" customHeight="1">
      <c r="A3" s="6" t="s">
        <v>496</v>
      </c>
      <c r="B3" s="6" t="s">
        <v>437</v>
      </c>
      <c r="C3" s="6" t="s">
        <v>497</v>
      </c>
      <c r="D3" s="6" t="s">
        <v>498</v>
      </c>
      <c r="E3" s="6" t="s">
        <v>499</v>
      </c>
    </row>
    <row r="4" spans="1:5" ht="15" customHeight="1">
      <c r="A4" s="7" t="s">
        <v>500</v>
      </c>
      <c r="B4" s="7" t="s">
        <v>501</v>
      </c>
      <c r="C4" s="7" t="s">
        <v>502</v>
      </c>
      <c r="D4" s="7" t="s">
        <v>498</v>
      </c>
      <c r="E4" s="7" t="s">
        <v>503</v>
      </c>
    </row>
    <row r="5" spans="1:5" ht="15" customHeight="1">
      <c r="A5" s="6" t="s">
        <v>504</v>
      </c>
      <c r="B5" s="6" t="s">
        <v>505</v>
      </c>
      <c r="C5" s="6" t="s">
        <v>506</v>
      </c>
      <c r="D5" s="6" t="s">
        <v>498</v>
      </c>
      <c r="E5" s="6" t="s">
        <v>507</v>
      </c>
    </row>
    <row r="6" spans="1:5" ht="32.5" customHeight="1">
      <c r="A6" s="7" t="s">
        <v>508</v>
      </c>
      <c r="B6" s="7" t="s">
        <v>509</v>
      </c>
      <c r="C6" s="7" t="s">
        <v>510</v>
      </c>
      <c r="D6" s="7" t="s">
        <v>511</v>
      </c>
      <c r="E6" s="7" t="s">
        <v>512</v>
      </c>
    </row>
    <row r="7" spans="1:5" ht="21.5" customHeight="1">
      <c r="A7" s="6" t="s">
        <v>513</v>
      </c>
      <c r="B7" s="6" t="s">
        <v>514</v>
      </c>
      <c r="C7" s="6" t="s">
        <v>515</v>
      </c>
      <c r="D7" s="6" t="s">
        <v>516</v>
      </c>
      <c r="E7" s="6" t="s">
        <v>517</v>
      </c>
    </row>
    <row r="8" spans="1:5" ht="15" customHeight="1">
      <c r="A8" s="7" t="s">
        <v>518</v>
      </c>
      <c r="B8" s="7" t="s">
        <v>519</v>
      </c>
      <c r="C8" s="7" t="s">
        <v>520</v>
      </c>
      <c r="D8" s="7" t="s">
        <v>498</v>
      </c>
      <c r="E8" s="7" t="s">
        <v>521</v>
      </c>
    </row>
    <row r="9" spans="1:5" ht="15" customHeight="1">
      <c r="A9" s="6" t="s">
        <v>522</v>
      </c>
      <c r="B9" s="6" t="s">
        <v>523</v>
      </c>
      <c r="C9" s="6" t="s">
        <v>524</v>
      </c>
      <c r="D9" s="6" t="s">
        <v>525</v>
      </c>
      <c r="E9" s="6" t="s">
        <v>526</v>
      </c>
    </row>
    <row r="10" spans="1:5" ht="15" customHeight="1">
      <c r="A10" s="7" t="s">
        <v>527</v>
      </c>
      <c r="B10" s="7" t="s">
        <v>528</v>
      </c>
      <c r="C10" s="7" t="s">
        <v>529</v>
      </c>
      <c r="D10" s="7" t="s">
        <v>530</v>
      </c>
      <c r="E10" s="7" t="s">
        <v>531</v>
      </c>
    </row>
    <row r="11" spans="1:5" ht="21.5" customHeight="1">
      <c r="A11" s="6" t="s">
        <v>532</v>
      </c>
      <c r="B11" s="6" t="s">
        <v>533</v>
      </c>
      <c r="C11" s="6" t="s">
        <v>534</v>
      </c>
      <c r="D11" s="6" t="s">
        <v>535</v>
      </c>
      <c r="E11" s="6" t="s">
        <v>536</v>
      </c>
    </row>
    <row r="12" spans="1:5" ht="15" customHeight="1">
      <c r="A12" s="7" t="s">
        <v>537</v>
      </c>
      <c r="B12" s="7" t="s">
        <v>538</v>
      </c>
      <c r="C12" s="7" t="s">
        <v>539</v>
      </c>
      <c r="D12" s="7" t="s">
        <v>540</v>
      </c>
      <c r="E12" s="7" t="s">
        <v>541</v>
      </c>
    </row>
    <row r="13" spans="1:5" ht="15" customHeight="1">
      <c r="A13" s="6" t="s">
        <v>542</v>
      </c>
      <c r="B13" s="6" t="s">
        <v>543</v>
      </c>
      <c r="C13" s="6" t="s">
        <v>544</v>
      </c>
      <c r="D13" s="6" t="s">
        <v>540</v>
      </c>
      <c r="E13" s="6" t="s">
        <v>545</v>
      </c>
    </row>
    <row r="15" spans="1:5">
      <c r="A15" s="14" t="s">
        <v>546</v>
      </c>
      <c r="B15" s="15"/>
      <c r="C15" s="15"/>
      <c r="D15" s="15"/>
      <c r="E15" s="15"/>
    </row>
    <row r="16" spans="1:5">
      <c r="A16" s="15"/>
      <c r="B16" s="15"/>
      <c r="C16" s="15"/>
      <c r="D16" s="15"/>
      <c r="E16" s="15"/>
    </row>
  </sheetData>
  <mergeCells count="1">
    <mergeCell ref="A15:E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"/>
  <sheetViews>
    <sheetView showGridLines="0" workbookViewId="0"/>
  </sheetViews>
  <sheetFormatPr baseColWidth="10" defaultColWidth="8.83203125" defaultRowHeight="15"/>
  <cols>
    <col min="1" max="1" width="14" customWidth="1"/>
    <col min="2" max="3" width="34" customWidth="1"/>
    <col min="4" max="4" width="24" customWidth="1"/>
    <col min="5" max="5" width="34" customWidth="1"/>
  </cols>
  <sheetData>
    <row r="1" spans="1:5" ht="15" customHeight="1">
      <c r="A1" s="5" t="s">
        <v>15</v>
      </c>
      <c r="B1" s="5" t="s">
        <v>547</v>
      </c>
      <c r="C1" s="5" t="s">
        <v>548</v>
      </c>
      <c r="D1" s="5" t="s">
        <v>549</v>
      </c>
      <c r="E1" s="5" t="s">
        <v>550</v>
      </c>
    </row>
    <row r="2" spans="1:5" ht="15" customHeight="1">
      <c r="A2" s="7" t="s">
        <v>551</v>
      </c>
      <c r="B2" s="7" t="s">
        <v>552</v>
      </c>
      <c r="C2" s="7" t="s">
        <v>553</v>
      </c>
      <c r="D2" s="7" t="s">
        <v>554</v>
      </c>
      <c r="E2" s="7" t="s">
        <v>555</v>
      </c>
    </row>
    <row r="3" spans="1:5" ht="15" customHeight="1">
      <c r="A3" s="6" t="s">
        <v>556</v>
      </c>
      <c r="B3" s="6" t="s">
        <v>557</v>
      </c>
      <c r="C3" s="6" t="s">
        <v>558</v>
      </c>
      <c r="D3" s="6" t="s">
        <v>559</v>
      </c>
      <c r="E3" s="6" t="s">
        <v>560</v>
      </c>
    </row>
    <row r="4" spans="1:5" ht="15" customHeight="1">
      <c r="A4" s="7" t="s">
        <v>561</v>
      </c>
      <c r="B4" s="7" t="s">
        <v>562</v>
      </c>
      <c r="C4" s="7" t="s">
        <v>563</v>
      </c>
      <c r="D4" s="7" t="s">
        <v>554</v>
      </c>
      <c r="E4" s="7" t="s">
        <v>564</v>
      </c>
    </row>
    <row r="5" spans="1:5" ht="15" customHeight="1">
      <c r="A5" s="6" t="s">
        <v>565</v>
      </c>
      <c r="B5" s="6" t="s">
        <v>566</v>
      </c>
      <c r="C5" s="6" t="s">
        <v>567</v>
      </c>
      <c r="D5" s="6" t="s">
        <v>554</v>
      </c>
      <c r="E5" s="6" t="s">
        <v>564</v>
      </c>
    </row>
    <row r="6" spans="1:5" ht="15" customHeight="1">
      <c r="A6" s="7" t="s">
        <v>568</v>
      </c>
      <c r="B6" s="7" t="s">
        <v>569</v>
      </c>
      <c r="C6" s="7" t="s">
        <v>570</v>
      </c>
      <c r="D6" s="7" t="s">
        <v>554</v>
      </c>
      <c r="E6" s="7" t="s">
        <v>571</v>
      </c>
    </row>
    <row r="7" spans="1:5" ht="15" customHeight="1">
      <c r="A7" s="6" t="s">
        <v>572</v>
      </c>
      <c r="B7" s="6" t="s">
        <v>573</v>
      </c>
      <c r="C7" s="6" t="s">
        <v>574</v>
      </c>
      <c r="D7" s="6" t="s">
        <v>554</v>
      </c>
      <c r="E7" s="6" t="s">
        <v>575</v>
      </c>
    </row>
    <row r="8" spans="1:5" ht="15" customHeight="1">
      <c r="A8" s="7" t="s">
        <v>576</v>
      </c>
      <c r="B8" s="7" t="s">
        <v>577</v>
      </c>
      <c r="C8" s="7" t="s">
        <v>578</v>
      </c>
      <c r="D8" s="7" t="s">
        <v>554</v>
      </c>
      <c r="E8" s="7" t="s">
        <v>579</v>
      </c>
    </row>
    <row r="9" spans="1:5" ht="15" customHeight="1">
      <c r="A9" s="6" t="s">
        <v>580</v>
      </c>
      <c r="B9" s="6" t="s">
        <v>581</v>
      </c>
      <c r="C9" s="6" t="s">
        <v>582</v>
      </c>
      <c r="D9" s="6" t="s">
        <v>554</v>
      </c>
      <c r="E9" s="6" t="s">
        <v>583</v>
      </c>
    </row>
    <row r="10" spans="1:5" ht="15" customHeight="1">
      <c r="A10" s="7" t="s">
        <v>584</v>
      </c>
      <c r="B10" s="7" t="s">
        <v>585</v>
      </c>
      <c r="C10" s="7" t="s">
        <v>586</v>
      </c>
      <c r="D10" s="7" t="s">
        <v>587</v>
      </c>
      <c r="E10" s="7" t="s">
        <v>588</v>
      </c>
    </row>
    <row r="11" spans="1:5" ht="15" customHeight="1">
      <c r="A11" s="6" t="s">
        <v>589</v>
      </c>
      <c r="B11" s="6" t="s">
        <v>590</v>
      </c>
      <c r="C11" s="6" t="s">
        <v>591</v>
      </c>
      <c r="D11" s="6" t="s">
        <v>592</v>
      </c>
      <c r="E11" s="6" t="s">
        <v>593</v>
      </c>
    </row>
    <row r="12" spans="1:5" ht="15" customHeight="1">
      <c r="A12" s="7" t="s">
        <v>594</v>
      </c>
      <c r="B12" s="7" t="s">
        <v>595</v>
      </c>
      <c r="C12" s="7" t="s">
        <v>596</v>
      </c>
      <c r="D12" s="7" t="s">
        <v>597</v>
      </c>
      <c r="E12" s="7" t="s">
        <v>598</v>
      </c>
    </row>
    <row r="13" spans="1:5" ht="15" customHeight="1">
      <c r="A13" s="6" t="s">
        <v>599</v>
      </c>
      <c r="B13" s="6" t="s">
        <v>600</v>
      </c>
      <c r="C13" s="6" t="s">
        <v>601</v>
      </c>
      <c r="D13" s="6" t="s">
        <v>559</v>
      </c>
      <c r="E13" s="6" t="s">
        <v>602</v>
      </c>
    </row>
    <row r="14" spans="1:5" ht="15" customHeight="1">
      <c r="A14" s="7" t="s">
        <v>603</v>
      </c>
      <c r="B14" s="7" t="s">
        <v>604</v>
      </c>
      <c r="C14" s="7" t="s">
        <v>74</v>
      </c>
      <c r="D14" s="7" t="s">
        <v>605</v>
      </c>
      <c r="E14" s="7" t="s">
        <v>606</v>
      </c>
    </row>
    <row r="15" spans="1:5" ht="15" customHeight="1">
      <c r="A15" s="6" t="s">
        <v>607</v>
      </c>
      <c r="B15" s="6" t="s">
        <v>608</v>
      </c>
      <c r="C15" s="6" t="s">
        <v>609</v>
      </c>
      <c r="D15" s="6" t="s">
        <v>554</v>
      </c>
      <c r="E15" s="6" t="s">
        <v>610</v>
      </c>
    </row>
    <row r="16" spans="1:5" ht="15" customHeight="1">
      <c r="A16" s="7" t="s">
        <v>611</v>
      </c>
      <c r="B16" s="7" t="s">
        <v>612</v>
      </c>
      <c r="C16" s="7" t="s">
        <v>613</v>
      </c>
      <c r="D16" s="7" t="s">
        <v>614</v>
      </c>
      <c r="E16" s="7" t="s">
        <v>615</v>
      </c>
    </row>
    <row r="17" spans="1:5" ht="15" customHeight="1">
      <c r="A17" s="6" t="s">
        <v>616</v>
      </c>
      <c r="B17" s="6" t="s">
        <v>617</v>
      </c>
      <c r="C17" s="6" t="s">
        <v>618</v>
      </c>
      <c r="D17" s="6" t="s">
        <v>619</v>
      </c>
      <c r="E17" s="6" t="s">
        <v>620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4"/>
  <sheetViews>
    <sheetView showGridLines="0" workbookViewId="0"/>
  </sheetViews>
  <sheetFormatPr baseColWidth="10" defaultColWidth="8.83203125" defaultRowHeight="15"/>
  <cols>
    <col min="1" max="1" width="14" customWidth="1"/>
    <col min="2" max="3" width="24" customWidth="1"/>
    <col min="4" max="5" width="34" customWidth="1"/>
    <col min="6" max="6" width="24" customWidth="1"/>
  </cols>
  <sheetData>
    <row r="1" spans="1:6" ht="15" customHeight="1">
      <c r="A1" s="5" t="s">
        <v>15</v>
      </c>
      <c r="B1" s="5" t="s">
        <v>654</v>
      </c>
      <c r="C1" s="5" t="s">
        <v>655</v>
      </c>
      <c r="D1" s="5" t="s">
        <v>656</v>
      </c>
      <c r="E1" s="5" t="s">
        <v>657</v>
      </c>
      <c r="F1" s="5" t="s">
        <v>658</v>
      </c>
    </row>
    <row r="2" spans="1:6" ht="21.5" customHeight="1">
      <c r="A2" s="7" t="s">
        <v>659</v>
      </c>
      <c r="B2" s="7" t="s">
        <v>30</v>
      </c>
      <c r="C2" s="7" t="s">
        <v>660</v>
      </c>
      <c r="D2" s="7" t="s">
        <v>661</v>
      </c>
      <c r="E2" s="7" t="s">
        <v>662</v>
      </c>
      <c r="F2" s="7"/>
    </row>
    <row r="3" spans="1:6" ht="21.5" customHeight="1">
      <c r="A3" s="6" t="s">
        <v>663</v>
      </c>
      <c r="B3" s="6" t="s">
        <v>30</v>
      </c>
      <c r="C3" s="6" t="s">
        <v>664</v>
      </c>
      <c r="D3" s="6" t="s">
        <v>665</v>
      </c>
      <c r="E3" s="6" t="s">
        <v>666</v>
      </c>
      <c r="F3" s="6" t="s">
        <v>427</v>
      </c>
    </row>
    <row r="4" spans="1:6" ht="32.5" customHeight="1">
      <c r="A4" s="7" t="s">
        <v>667</v>
      </c>
      <c r="B4" s="7" t="s">
        <v>30</v>
      </c>
      <c r="C4" s="7" t="s">
        <v>660</v>
      </c>
      <c r="D4" s="7" t="s">
        <v>668</v>
      </c>
      <c r="E4" s="7" t="s">
        <v>662</v>
      </c>
      <c r="F4" s="7"/>
    </row>
    <row r="5" spans="1:6" ht="21.5" customHeight="1">
      <c r="A5" s="6" t="s">
        <v>669</v>
      </c>
      <c r="B5" s="6" t="s">
        <v>30</v>
      </c>
      <c r="C5" s="6" t="s">
        <v>664</v>
      </c>
      <c r="D5" s="6" t="s">
        <v>670</v>
      </c>
      <c r="E5" s="6" t="s">
        <v>666</v>
      </c>
      <c r="F5" s="6" t="s">
        <v>427</v>
      </c>
    </row>
    <row r="6" spans="1:6" ht="32.5" customHeight="1">
      <c r="A6" s="7" t="s">
        <v>671</v>
      </c>
      <c r="B6" s="7" t="s">
        <v>30</v>
      </c>
      <c r="C6" s="7" t="s">
        <v>660</v>
      </c>
      <c r="D6" s="7" t="s">
        <v>672</v>
      </c>
      <c r="E6" s="7" t="s">
        <v>662</v>
      </c>
      <c r="F6" s="7"/>
    </row>
    <row r="7" spans="1:6" ht="21.5" customHeight="1">
      <c r="A7" s="6" t="s">
        <v>673</v>
      </c>
      <c r="B7" s="6" t="s">
        <v>30</v>
      </c>
      <c r="C7" s="6" t="s">
        <v>664</v>
      </c>
      <c r="D7" s="6" t="s">
        <v>674</v>
      </c>
      <c r="E7" s="6" t="s">
        <v>666</v>
      </c>
      <c r="F7" s="6" t="s">
        <v>427</v>
      </c>
    </row>
    <row r="8" spans="1:6" ht="21.5" customHeight="1">
      <c r="A8" s="7" t="s">
        <v>675</v>
      </c>
      <c r="B8" s="7" t="s">
        <v>30</v>
      </c>
      <c r="C8" s="7" t="s">
        <v>660</v>
      </c>
      <c r="D8" s="7" t="s">
        <v>676</v>
      </c>
      <c r="E8" s="7" t="s">
        <v>662</v>
      </c>
      <c r="F8" s="7"/>
    </row>
    <row r="9" spans="1:6" ht="21.5" customHeight="1">
      <c r="A9" s="6" t="s">
        <v>677</v>
      </c>
      <c r="B9" s="6" t="s">
        <v>30</v>
      </c>
      <c r="C9" s="6" t="s">
        <v>664</v>
      </c>
      <c r="D9" s="6" t="s">
        <v>678</v>
      </c>
      <c r="E9" s="6" t="s">
        <v>666</v>
      </c>
      <c r="F9" s="6" t="s">
        <v>427</v>
      </c>
    </row>
    <row r="10" spans="1:6" ht="21.5" customHeight="1">
      <c r="A10" s="7" t="s">
        <v>679</v>
      </c>
      <c r="B10" s="7" t="s">
        <v>30</v>
      </c>
      <c r="C10" s="7" t="s">
        <v>660</v>
      </c>
      <c r="D10" s="7" t="s">
        <v>680</v>
      </c>
      <c r="E10" s="7" t="s">
        <v>662</v>
      </c>
      <c r="F10" s="7"/>
    </row>
    <row r="11" spans="1:6" ht="21.5" customHeight="1">
      <c r="A11" s="6" t="s">
        <v>681</v>
      </c>
      <c r="B11" s="6" t="s">
        <v>30</v>
      </c>
      <c r="C11" s="6" t="s">
        <v>664</v>
      </c>
      <c r="D11" s="6" t="s">
        <v>682</v>
      </c>
      <c r="E11" s="6" t="s">
        <v>666</v>
      </c>
      <c r="F11" s="6" t="s">
        <v>427</v>
      </c>
    </row>
    <row r="12" spans="1:6" ht="21.5" customHeight="1">
      <c r="A12" s="7" t="s">
        <v>683</v>
      </c>
      <c r="B12" s="7" t="s">
        <v>30</v>
      </c>
      <c r="C12" s="7" t="s">
        <v>660</v>
      </c>
      <c r="D12" s="7" t="s">
        <v>684</v>
      </c>
      <c r="E12" s="7" t="s">
        <v>662</v>
      </c>
      <c r="F12" s="7"/>
    </row>
    <row r="13" spans="1:6" ht="21.5" customHeight="1">
      <c r="A13" s="6" t="s">
        <v>685</v>
      </c>
      <c r="B13" s="6" t="s">
        <v>30</v>
      </c>
      <c r="C13" s="6" t="s">
        <v>664</v>
      </c>
      <c r="D13" s="6" t="s">
        <v>686</v>
      </c>
      <c r="E13" s="6" t="s">
        <v>666</v>
      </c>
      <c r="F13" s="6" t="s">
        <v>427</v>
      </c>
    </row>
    <row r="14" spans="1:6" ht="21.5" customHeight="1">
      <c r="A14" s="7" t="s">
        <v>687</v>
      </c>
      <c r="B14" s="7" t="s">
        <v>30</v>
      </c>
      <c r="C14" s="7" t="s">
        <v>660</v>
      </c>
      <c r="D14" s="7" t="s">
        <v>688</v>
      </c>
      <c r="E14" s="7" t="s">
        <v>662</v>
      </c>
      <c r="F14" s="7"/>
    </row>
    <row r="15" spans="1:6" ht="21.5" customHeight="1">
      <c r="A15" s="6" t="s">
        <v>689</v>
      </c>
      <c r="B15" s="6" t="s">
        <v>30</v>
      </c>
      <c r="C15" s="6" t="s">
        <v>664</v>
      </c>
      <c r="D15" s="6" t="s">
        <v>690</v>
      </c>
      <c r="E15" s="6" t="s">
        <v>666</v>
      </c>
      <c r="F15" s="6" t="s">
        <v>427</v>
      </c>
    </row>
    <row r="16" spans="1:6" ht="21.5" customHeight="1">
      <c r="A16" s="7" t="s">
        <v>691</v>
      </c>
      <c r="B16" s="7" t="s">
        <v>30</v>
      </c>
      <c r="C16" s="7" t="s">
        <v>660</v>
      </c>
      <c r="D16" s="7" t="s">
        <v>692</v>
      </c>
      <c r="E16" s="7" t="s">
        <v>662</v>
      </c>
      <c r="F16" s="7"/>
    </row>
    <row r="17" spans="1:6" ht="21.5" customHeight="1">
      <c r="A17" s="6" t="s">
        <v>693</v>
      </c>
      <c r="B17" s="6" t="s">
        <v>30</v>
      </c>
      <c r="C17" s="6" t="s">
        <v>664</v>
      </c>
      <c r="D17" s="6" t="s">
        <v>694</v>
      </c>
      <c r="E17" s="6" t="s">
        <v>666</v>
      </c>
      <c r="F17" s="6" t="s">
        <v>427</v>
      </c>
    </row>
    <row r="18" spans="1:6" ht="21.5" customHeight="1">
      <c r="A18" s="7" t="s">
        <v>695</v>
      </c>
      <c r="B18" s="7" t="s">
        <v>30</v>
      </c>
      <c r="C18" s="7" t="s">
        <v>660</v>
      </c>
      <c r="D18" s="7" t="s">
        <v>696</v>
      </c>
      <c r="E18" s="7" t="s">
        <v>662</v>
      </c>
      <c r="F18" s="7"/>
    </row>
    <row r="19" spans="1:6" ht="21.5" customHeight="1">
      <c r="A19" s="6" t="s">
        <v>697</v>
      </c>
      <c r="B19" s="6" t="s">
        <v>30</v>
      </c>
      <c r="C19" s="6" t="s">
        <v>664</v>
      </c>
      <c r="D19" s="6" t="s">
        <v>698</v>
      </c>
      <c r="E19" s="6" t="s">
        <v>666</v>
      </c>
      <c r="F19" s="6" t="s">
        <v>427</v>
      </c>
    </row>
    <row r="20" spans="1:6" ht="21.5" customHeight="1">
      <c r="A20" s="7" t="s">
        <v>699</v>
      </c>
      <c r="B20" s="7" t="s">
        <v>30</v>
      </c>
      <c r="C20" s="7" t="s">
        <v>660</v>
      </c>
      <c r="D20" s="7" t="s">
        <v>700</v>
      </c>
      <c r="E20" s="7" t="s">
        <v>662</v>
      </c>
      <c r="F20" s="7"/>
    </row>
    <row r="21" spans="1:6" ht="21.5" customHeight="1">
      <c r="A21" s="6" t="s">
        <v>701</v>
      </c>
      <c r="B21" s="6" t="s">
        <v>30</v>
      </c>
      <c r="C21" s="6" t="s">
        <v>664</v>
      </c>
      <c r="D21" s="6" t="s">
        <v>702</v>
      </c>
      <c r="E21" s="6" t="s">
        <v>666</v>
      </c>
      <c r="F21" s="6" t="s">
        <v>427</v>
      </c>
    </row>
    <row r="22" spans="1:6" ht="32.5" customHeight="1">
      <c r="A22" s="7" t="s">
        <v>703</v>
      </c>
      <c r="B22" s="7" t="s">
        <v>30</v>
      </c>
      <c r="C22" s="7" t="s">
        <v>660</v>
      </c>
      <c r="D22" s="7" t="s">
        <v>704</v>
      </c>
      <c r="E22" s="7" t="s">
        <v>662</v>
      </c>
      <c r="F22" s="7"/>
    </row>
    <row r="23" spans="1:6" ht="21.5" customHeight="1">
      <c r="A23" s="6" t="s">
        <v>705</v>
      </c>
      <c r="B23" s="6" t="s">
        <v>30</v>
      </c>
      <c r="C23" s="6" t="s">
        <v>664</v>
      </c>
      <c r="D23" s="6" t="s">
        <v>706</v>
      </c>
      <c r="E23" s="6" t="s">
        <v>666</v>
      </c>
      <c r="F23" s="6" t="s">
        <v>427</v>
      </c>
    </row>
    <row r="24" spans="1:6" ht="32.5" customHeight="1">
      <c r="A24" s="7" t="s">
        <v>707</v>
      </c>
      <c r="B24" s="7" t="s">
        <v>30</v>
      </c>
      <c r="C24" s="7" t="s">
        <v>660</v>
      </c>
      <c r="D24" s="7" t="s">
        <v>708</v>
      </c>
      <c r="E24" s="7" t="s">
        <v>662</v>
      </c>
      <c r="F24" s="7"/>
    </row>
    <row r="25" spans="1:6" ht="21.5" customHeight="1">
      <c r="A25" s="6" t="s">
        <v>709</v>
      </c>
      <c r="B25" s="6" t="s">
        <v>30</v>
      </c>
      <c r="C25" s="6" t="s">
        <v>664</v>
      </c>
      <c r="D25" s="6" t="s">
        <v>710</v>
      </c>
      <c r="E25" s="6" t="s">
        <v>666</v>
      </c>
      <c r="F25" s="6" t="s">
        <v>427</v>
      </c>
    </row>
    <row r="26" spans="1:6" ht="32.5" customHeight="1">
      <c r="A26" s="7" t="s">
        <v>711</v>
      </c>
      <c r="B26" s="7" t="s">
        <v>185</v>
      </c>
      <c r="C26" s="7" t="s">
        <v>712</v>
      </c>
      <c r="D26" s="7" t="s">
        <v>713</v>
      </c>
      <c r="E26" s="7" t="s">
        <v>714</v>
      </c>
      <c r="F26" s="7" t="s">
        <v>192</v>
      </c>
    </row>
    <row r="27" spans="1:6" ht="32.5" customHeight="1">
      <c r="A27" s="6" t="s">
        <v>715</v>
      </c>
      <c r="B27" s="6" t="s">
        <v>185</v>
      </c>
      <c r="C27" s="6" t="s">
        <v>712</v>
      </c>
      <c r="D27" s="6" t="s">
        <v>716</v>
      </c>
      <c r="E27" s="6" t="s">
        <v>714</v>
      </c>
      <c r="F27" s="6" t="s">
        <v>197</v>
      </c>
    </row>
    <row r="28" spans="1:6" ht="32.5" customHeight="1">
      <c r="A28" s="7" t="s">
        <v>717</v>
      </c>
      <c r="B28" s="7" t="s">
        <v>185</v>
      </c>
      <c r="C28" s="7" t="s">
        <v>712</v>
      </c>
      <c r="D28" s="7" t="s">
        <v>718</v>
      </c>
      <c r="E28" s="7" t="s">
        <v>714</v>
      </c>
      <c r="F28" s="7" t="s">
        <v>202</v>
      </c>
    </row>
    <row r="29" spans="1:6" ht="32.5" customHeight="1">
      <c r="A29" s="6" t="s">
        <v>719</v>
      </c>
      <c r="B29" s="6" t="s">
        <v>185</v>
      </c>
      <c r="C29" s="6" t="s">
        <v>712</v>
      </c>
      <c r="D29" s="6" t="s">
        <v>720</v>
      </c>
      <c r="E29" s="6" t="s">
        <v>714</v>
      </c>
      <c r="F29" s="6" t="s">
        <v>207</v>
      </c>
    </row>
    <row r="30" spans="1:6" ht="32.5" customHeight="1">
      <c r="A30" s="7" t="s">
        <v>721</v>
      </c>
      <c r="B30" s="7" t="s">
        <v>185</v>
      </c>
      <c r="C30" s="7" t="s">
        <v>712</v>
      </c>
      <c r="D30" s="7" t="s">
        <v>722</v>
      </c>
      <c r="E30" s="7" t="s">
        <v>714</v>
      </c>
      <c r="F30" s="7" t="s">
        <v>212</v>
      </c>
    </row>
    <row r="31" spans="1:6" ht="32.5" customHeight="1">
      <c r="A31" s="6" t="s">
        <v>723</v>
      </c>
      <c r="B31" s="6" t="s">
        <v>185</v>
      </c>
      <c r="C31" s="6" t="s">
        <v>712</v>
      </c>
      <c r="D31" s="6" t="s">
        <v>724</v>
      </c>
      <c r="E31" s="6" t="s">
        <v>714</v>
      </c>
      <c r="F31" s="6" t="s">
        <v>217</v>
      </c>
    </row>
    <row r="32" spans="1:6" ht="32.5" customHeight="1">
      <c r="A32" s="7" t="s">
        <v>725</v>
      </c>
      <c r="B32" s="7" t="s">
        <v>185</v>
      </c>
      <c r="C32" s="7" t="s">
        <v>712</v>
      </c>
      <c r="D32" s="7" t="s">
        <v>726</v>
      </c>
      <c r="E32" s="7" t="s">
        <v>714</v>
      </c>
      <c r="F32" s="7" t="s">
        <v>222</v>
      </c>
    </row>
    <row r="33" spans="1:6" ht="32.5" customHeight="1">
      <c r="A33" s="6" t="s">
        <v>727</v>
      </c>
      <c r="B33" s="6" t="s">
        <v>185</v>
      </c>
      <c r="C33" s="6" t="s">
        <v>712</v>
      </c>
      <c r="D33" s="6" t="s">
        <v>728</v>
      </c>
      <c r="E33" s="6" t="s">
        <v>714</v>
      </c>
      <c r="F33" s="6" t="s">
        <v>227</v>
      </c>
    </row>
    <row r="34" spans="1:6" ht="21.5" customHeight="1">
      <c r="A34" s="7" t="s">
        <v>729</v>
      </c>
      <c r="B34" s="7" t="s">
        <v>185</v>
      </c>
      <c r="C34" s="7" t="s">
        <v>712</v>
      </c>
      <c r="D34" s="7" t="s">
        <v>730</v>
      </c>
      <c r="E34" s="7" t="s">
        <v>714</v>
      </c>
      <c r="F34" s="7" t="s">
        <v>232</v>
      </c>
    </row>
    <row r="35" spans="1:6" ht="21.5" customHeight="1">
      <c r="A35" s="6" t="s">
        <v>731</v>
      </c>
      <c r="B35" s="6" t="s">
        <v>185</v>
      </c>
      <c r="C35" s="6" t="s">
        <v>712</v>
      </c>
      <c r="D35" s="6" t="s">
        <v>732</v>
      </c>
      <c r="E35" s="6" t="s">
        <v>714</v>
      </c>
      <c r="F35" s="6" t="s">
        <v>237</v>
      </c>
    </row>
    <row r="36" spans="1:6" ht="32.5" customHeight="1">
      <c r="A36" s="7" t="s">
        <v>733</v>
      </c>
      <c r="B36" s="7" t="s">
        <v>185</v>
      </c>
      <c r="C36" s="7" t="s">
        <v>712</v>
      </c>
      <c r="D36" s="7" t="s">
        <v>734</v>
      </c>
      <c r="E36" s="7" t="s">
        <v>714</v>
      </c>
      <c r="F36" s="7" t="s">
        <v>242</v>
      </c>
    </row>
    <row r="37" spans="1:6" ht="32.5" customHeight="1">
      <c r="A37" s="6" t="s">
        <v>735</v>
      </c>
      <c r="B37" s="6" t="s">
        <v>185</v>
      </c>
      <c r="C37" s="6" t="s">
        <v>712</v>
      </c>
      <c r="D37" s="6" t="s">
        <v>736</v>
      </c>
      <c r="E37" s="6" t="s">
        <v>714</v>
      </c>
      <c r="F37" s="6" t="s">
        <v>247</v>
      </c>
    </row>
    <row r="38" spans="1:6" ht="32.5" customHeight="1">
      <c r="A38" s="7" t="s">
        <v>737</v>
      </c>
      <c r="B38" s="7" t="s">
        <v>185</v>
      </c>
      <c r="C38" s="7" t="s">
        <v>712</v>
      </c>
      <c r="D38" s="7" t="s">
        <v>738</v>
      </c>
      <c r="E38" s="7" t="s">
        <v>714</v>
      </c>
      <c r="F38" s="7" t="s">
        <v>252</v>
      </c>
    </row>
    <row r="39" spans="1:6" ht="32.5" customHeight="1">
      <c r="A39" s="6" t="s">
        <v>739</v>
      </c>
      <c r="B39" s="6" t="s">
        <v>185</v>
      </c>
      <c r="C39" s="6" t="s">
        <v>712</v>
      </c>
      <c r="D39" s="6" t="s">
        <v>740</v>
      </c>
      <c r="E39" s="6" t="s">
        <v>714</v>
      </c>
      <c r="F39" s="6" t="s">
        <v>257</v>
      </c>
    </row>
    <row r="40" spans="1:6" ht="32.5" customHeight="1">
      <c r="A40" s="7" t="s">
        <v>741</v>
      </c>
      <c r="B40" s="7" t="s">
        <v>185</v>
      </c>
      <c r="C40" s="7" t="s">
        <v>712</v>
      </c>
      <c r="D40" s="7" t="s">
        <v>742</v>
      </c>
      <c r="E40" s="7" t="s">
        <v>714</v>
      </c>
      <c r="F40" s="7" t="s">
        <v>262</v>
      </c>
    </row>
    <row r="41" spans="1:6" ht="21.5" customHeight="1">
      <c r="A41" s="6" t="s">
        <v>743</v>
      </c>
      <c r="B41" s="6" t="s">
        <v>185</v>
      </c>
      <c r="C41" s="6" t="s">
        <v>712</v>
      </c>
      <c r="D41" s="6" t="s">
        <v>744</v>
      </c>
      <c r="E41" s="6" t="s">
        <v>714</v>
      </c>
      <c r="F41" s="6" t="s">
        <v>267</v>
      </c>
    </row>
    <row r="42" spans="1:6" ht="32.5" customHeight="1">
      <c r="A42" s="7" t="s">
        <v>745</v>
      </c>
      <c r="B42" s="7" t="s">
        <v>185</v>
      </c>
      <c r="C42" s="7" t="s">
        <v>712</v>
      </c>
      <c r="D42" s="7" t="s">
        <v>746</v>
      </c>
      <c r="E42" s="7" t="s">
        <v>714</v>
      </c>
      <c r="F42" s="7" t="s">
        <v>272</v>
      </c>
    </row>
    <row r="43" spans="1:6" ht="21.5" customHeight="1">
      <c r="A43" s="6" t="s">
        <v>747</v>
      </c>
      <c r="B43" s="6" t="s">
        <v>185</v>
      </c>
      <c r="C43" s="6" t="s">
        <v>712</v>
      </c>
      <c r="D43" s="6" t="s">
        <v>748</v>
      </c>
      <c r="E43" s="6" t="s">
        <v>714</v>
      </c>
      <c r="F43" s="6" t="s">
        <v>277</v>
      </c>
    </row>
    <row r="44" spans="1:6" ht="32.5" customHeight="1">
      <c r="A44" s="7" t="s">
        <v>749</v>
      </c>
      <c r="B44" s="7" t="s">
        <v>185</v>
      </c>
      <c r="C44" s="7" t="s">
        <v>712</v>
      </c>
      <c r="D44" s="7" t="s">
        <v>750</v>
      </c>
      <c r="E44" s="7" t="s">
        <v>714</v>
      </c>
      <c r="F44" s="7" t="s">
        <v>282</v>
      </c>
    </row>
    <row r="45" spans="1:6" ht="21.5" customHeight="1">
      <c r="A45" s="6" t="s">
        <v>751</v>
      </c>
      <c r="B45" s="6" t="s">
        <v>185</v>
      </c>
      <c r="C45" s="6" t="s">
        <v>712</v>
      </c>
      <c r="D45" s="6" t="s">
        <v>752</v>
      </c>
      <c r="E45" s="6" t="s">
        <v>714</v>
      </c>
      <c r="F45" s="6" t="s">
        <v>287</v>
      </c>
    </row>
    <row r="46" spans="1:6" ht="21.5" customHeight="1">
      <c r="A46" s="7" t="s">
        <v>753</v>
      </c>
      <c r="B46" s="7" t="s">
        <v>185</v>
      </c>
      <c r="C46" s="7" t="s">
        <v>712</v>
      </c>
      <c r="D46" s="7" t="s">
        <v>754</v>
      </c>
      <c r="E46" s="7" t="s">
        <v>714</v>
      </c>
      <c r="F46" s="7" t="s">
        <v>292</v>
      </c>
    </row>
    <row r="47" spans="1:6" ht="32.5" customHeight="1">
      <c r="A47" s="6" t="s">
        <v>755</v>
      </c>
      <c r="B47" s="6" t="s">
        <v>185</v>
      </c>
      <c r="C47" s="6" t="s">
        <v>712</v>
      </c>
      <c r="D47" s="6" t="s">
        <v>756</v>
      </c>
      <c r="E47" s="6" t="s">
        <v>714</v>
      </c>
      <c r="F47" s="6" t="s">
        <v>297</v>
      </c>
    </row>
    <row r="48" spans="1:6" ht="32.5" customHeight="1">
      <c r="A48" s="7" t="s">
        <v>757</v>
      </c>
      <c r="B48" s="7" t="s">
        <v>185</v>
      </c>
      <c r="C48" s="7" t="s">
        <v>712</v>
      </c>
      <c r="D48" s="7" t="s">
        <v>758</v>
      </c>
      <c r="E48" s="7" t="s">
        <v>714</v>
      </c>
      <c r="F48" s="7" t="s">
        <v>302</v>
      </c>
    </row>
    <row r="49" spans="1:6" ht="32.5" customHeight="1">
      <c r="A49" s="6" t="s">
        <v>759</v>
      </c>
      <c r="B49" s="6" t="s">
        <v>185</v>
      </c>
      <c r="C49" s="6" t="s">
        <v>712</v>
      </c>
      <c r="D49" s="6" t="s">
        <v>760</v>
      </c>
      <c r="E49" s="6" t="s">
        <v>714</v>
      </c>
      <c r="F49" s="6" t="s">
        <v>307</v>
      </c>
    </row>
    <row r="50" spans="1:6" ht="32.5" customHeight="1">
      <c r="A50" s="7" t="s">
        <v>761</v>
      </c>
      <c r="B50" s="7" t="s">
        <v>185</v>
      </c>
      <c r="C50" s="7" t="s">
        <v>712</v>
      </c>
      <c r="D50" s="7" t="s">
        <v>762</v>
      </c>
      <c r="E50" s="7" t="s">
        <v>714</v>
      </c>
      <c r="F50" s="7" t="s">
        <v>312</v>
      </c>
    </row>
    <row r="51" spans="1:6" ht="32.5" customHeight="1">
      <c r="A51" s="6" t="s">
        <v>763</v>
      </c>
      <c r="B51" s="6" t="s">
        <v>185</v>
      </c>
      <c r="C51" s="6" t="s">
        <v>712</v>
      </c>
      <c r="D51" s="6" t="s">
        <v>764</v>
      </c>
      <c r="E51" s="6" t="s">
        <v>714</v>
      </c>
      <c r="F51" s="6" t="s">
        <v>317</v>
      </c>
    </row>
    <row r="52" spans="1:6" ht="32.5" customHeight="1">
      <c r="A52" s="7" t="s">
        <v>765</v>
      </c>
      <c r="B52" s="7" t="s">
        <v>185</v>
      </c>
      <c r="C52" s="7" t="s">
        <v>712</v>
      </c>
      <c r="D52" s="7" t="s">
        <v>766</v>
      </c>
      <c r="E52" s="7" t="s">
        <v>714</v>
      </c>
      <c r="F52" s="7" t="s">
        <v>322</v>
      </c>
    </row>
    <row r="53" spans="1:6" ht="32.5" customHeight="1">
      <c r="A53" s="6" t="s">
        <v>767</v>
      </c>
      <c r="B53" s="6" t="s">
        <v>185</v>
      </c>
      <c r="C53" s="6" t="s">
        <v>712</v>
      </c>
      <c r="D53" s="6" t="s">
        <v>768</v>
      </c>
      <c r="E53" s="6" t="s">
        <v>714</v>
      </c>
      <c r="F53" s="6" t="s">
        <v>327</v>
      </c>
    </row>
    <row r="54" spans="1:6" ht="32.5" customHeight="1">
      <c r="A54" s="7" t="s">
        <v>769</v>
      </c>
      <c r="B54" s="7" t="s">
        <v>185</v>
      </c>
      <c r="C54" s="7" t="s">
        <v>712</v>
      </c>
      <c r="D54" s="7" t="s">
        <v>770</v>
      </c>
      <c r="E54" s="7" t="s">
        <v>714</v>
      </c>
      <c r="F54" s="7" t="s">
        <v>332</v>
      </c>
    </row>
    <row r="55" spans="1:6" ht="21.5" customHeight="1">
      <c r="A55" s="6" t="s">
        <v>771</v>
      </c>
      <c r="B55" s="6" t="s">
        <v>388</v>
      </c>
      <c r="C55" s="6" t="s">
        <v>772</v>
      </c>
      <c r="D55" s="6" t="s">
        <v>773</v>
      </c>
      <c r="E55" s="6" t="s">
        <v>774</v>
      </c>
      <c r="F55" s="6" t="s">
        <v>392</v>
      </c>
    </row>
    <row r="56" spans="1:6" ht="21.5" customHeight="1">
      <c r="A56" s="7" t="s">
        <v>775</v>
      </c>
      <c r="B56" s="7" t="s">
        <v>388</v>
      </c>
      <c r="C56" s="7" t="s">
        <v>772</v>
      </c>
      <c r="D56" s="7" t="s">
        <v>776</v>
      </c>
      <c r="E56" s="7" t="s">
        <v>774</v>
      </c>
      <c r="F56" s="7" t="s">
        <v>397</v>
      </c>
    </row>
    <row r="57" spans="1:6" ht="21.5" customHeight="1">
      <c r="A57" s="6" t="s">
        <v>777</v>
      </c>
      <c r="B57" s="6" t="s">
        <v>388</v>
      </c>
      <c r="C57" s="6" t="s">
        <v>772</v>
      </c>
      <c r="D57" s="6" t="s">
        <v>778</v>
      </c>
      <c r="E57" s="6" t="s">
        <v>774</v>
      </c>
      <c r="F57" s="6" t="s">
        <v>402</v>
      </c>
    </row>
    <row r="58" spans="1:6" ht="21.5" customHeight="1">
      <c r="A58" s="7" t="s">
        <v>779</v>
      </c>
      <c r="B58" s="7" t="s">
        <v>388</v>
      </c>
      <c r="C58" s="7" t="s">
        <v>772</v>
      </c>
      <c r="D58" s="7" t="s">
        <v>780</v>
      </c>
      <c r="E58" s="7" t="s">
        <v>774</v>
      </c>
      <c r="F58" s="7" t="s">
        <v>407</v>
      </c>
    </row>
    <row r="59" spans="1:6" ht="21.5" customHeight="1">
      <c r="A59" s="6" t="s">
        <v>781</v>
      </c>
      <c r="B59" s="6" t="s">
        <v>388</v>
      </c>
      <c r="C59" s="6" t="s">
        <v>772</v>
      </c>
      <c r="D59" s="6" t="s">
        <v>782</v>
      </c>
      <c r="E59" s="6" t="s">
        <v>774</v>
      </c>
      <c r="F59" s="6" t="s">
        <v>412</v>
      </c>
    </row>
    <row r="60" spans="1:6" ht="21.5" customHeight="1">
      <c r="A60" s="7" t="s">
        <v>783</v>
      </c>
      <c r="B60" s="7" t="s">
        <v>388</v>
      </c>
      <c r="C60" s="7" t="s">
        <v>772</v>
      </c>
      <c r="D60" s="7" t="s">
        <v>784</v>
      </c>
      <c r="E60" s="7" t="s">
        <v>774</v>
      </c>
      <c r="F60" s="7" t="s">
        <v>417</v>
      </c>
    </row>
    <row r="61" spans="1:6" ht="21.5" customHeight="1">
      <c r="A61" s="6" t="s">
        <v>785</v>
      </c>
      <c r="B61" s="6" t="s">
        <v>388</v>
      </c>
      <c r="C61" s="6" t="s">
        <v>772</v>
      </c>
      <c r="D61" s="6" t="s">
        <v>786</v>
      </c>
      <c r="E61" s="6" t="s">
        <v>774</v>
      </c>
      <c r="F61" s="6" t="s">
        <v>422</v>
      </c>
    </row>
    <row r="62" spans="1:6" ht="21.5" customHeight="1">
      <c r="A62" s="7" t="s">
        <v>787</v>
      </c>
      <c r="B62" s="7" t="s">
        <v>388</v>
      </c>
      <c r="C62" s="7" t="s">
        <v>772</v>
      </c>
      <c r="D62" s="7" t="s">
        <v>788</v>
      </c>
      <c r="E62" s="7" t="s">
        <v>774</v>
      </c>
      <c r="F62" s="7" t="s">
        <v>427</v>
      </c>
    </row>
    <row r="63" spans="1:6" ht="21.5" customHeight="1">
      <c r="A63" s="6" t="s">
        <v>789</v>
      </c>
      <c r="B63" s="6" t="s">
        <v>388</v>
      </c>
      <c r="C63" s="6" t="s">
        <v>772</v>
      </c>
      <c r="D63" s="6" t="s">
        <v>790</v>
      </c>
      <c r="E63" s="6" t="s">
        <v>774</v>
      </c>
      <c r="F63" s="6" t="s">
        <v>432</v>
      </c>
    </row>
    <row r="64" spans="1:6" ht="21.5" customHeight="1">
      <c r="A64" s="7" t="s">
        <v>791</v>
      </c>
      <c r="B64" s="7" t="s">
        <v>388</v>
      </c>
      <c r="C64" s="7" t="s">
        <v>772</v>
      </c>
      <c r="D64" s="7" t="s">
        <v>792</v>
      </c>
      <c r="E64" s="7" t="s">
        <v>774</v>
      </c>
      <c r="F64" s="7" t="s">
        <v>437</v>
      </c>
    </row>
    <row r="65" spans="1:6" ht="21.5" customHeight="1">
      <c r="A65" s="6" t="s">
        <v>793</v>
      </c>
      <c r="B65" s="6" t="s">
        <v>388</v>
      </c>
      <c r="C65" s="6" t="s">
        <v>772</v>
      </c>
      <c r="D65" s="6" t="s">
        <v>794</v>
      </c>
      <c r="E65" s="6" t="s">
        <v>774</v>
      </c>
      <c r="F65" s="6" t="s">
        <v>442</v>
      </c>
    </row>
    <row r="66" spans="1:6" ht="21.5" customHeight="1">
      <c r="A66" s="7" t="s">
        <v>795</v>
      </c>
      <c r="B66" s="7" t="s">
        <v>388</v>
      </c>
      <c r="C66" s="7" t="s">
        <v>772</v>
      </c>
      <c r="D66" s="7" t="s">
        <v>796</v>
      </c>
      <c r="E66" s="7" t="s">
        <v>774</v>
      </c>
      <c r="F66" s="7" t="s">
        <v>447</v>
      </c>
    </row>
    <row r="67" spans="1:6" ht="21.5" customHeight="1">
      <c r="A67" s="6" t="s">
        <v>797</v>
      </c>
      <c r="B67" s="6" t="s">
        <v>388</v>
      </c>
      <c r="C67" s="6" t="s">
        <v>772</v>
      </c>
      <c r="D67" s="6" t="s">
        <v>798</v>
      </c>
      <c r="E67" s="6" t="s">
        <v>774</v>
      </c>
      <c r="F67" s="6" t="s">
        <v>452</v>
      </c>
    </row>
    <row r="68" spans="1:6" ht="21.5" customHeight="1">
      <c r="A68" s="7" t="s">
        <v>799</v>
      </c>
      <c r="B68" s="7" t="s">
        <v>388</v>
      </c>
      <c r="C68" s="7" t="s">
        <v>772</v>
      </c>
      <c r="D68" s="7" t="s">
        <v>800</v>
      </c>
      <c r="E68" s="7" t="s">
        <v>774</v>
      </c>
      <c r="F68" s="7" t="s">
        <v>457</v>
      </c>
    </row>
    <row r="69" spans="1:6" ht="21.5" customHeight="1">
      <c r="A69" s="6" t="s">
        <v>801</v>
      </c>
      <c r="B69" s="6" t="s">
        <v>388</v>
      </c>
      <c r="C69" s="6" t="s">
        <v>772</v>
      </c>
      <c r="D69" s="6" t="s">
        <v>802</v>
      </c>
      <c r="E69" s="6" t="s">
        <v>774</v>
      </c>
      <c r="F69" s="6" t="s">
        <v>287</v>
      </c>
    </row>
    <row r="70" spans="1:6" ht="21.5" customHeight="1">
      <c r="A70" s="7" t="s">
        <v>803</v>
      </c>
      <c r="B70" s="7" t="s">
        <v>388</v>
      </c>
      <c r="C70" s="7" t="s">
        <v>772</v>
      </c>
      <c r="D70" s="7" t="s">
        <v>804</v>
      </c>
      <c r="E70" s="7" t="s">
        <v>774</v>
      </c>
      <c r="F70" s="7" t="s">
        <v>466</v>
      </c>
    </row>
    <row r="71" spans="1:6" ht="21.5" customHeight="1">
      <c r="A71" s="6" t="s">
        <v>805</v>
      </c>
      <c r="B71" s="6" t="s">
        <v>388</v>
      </c>
      <c r="C71" s="6" t="s">
        <v>772</v>
      </c>
      <c r="D71" s="6" t="s">
        <v>806</v>
      </c>
      <c r="E71" s="6" t="s">
        <v>774</v>
      </c>
      <c r="F71" s="6" t="s">
        <v>471</v>
      </c>
    </row>
    <row r="72" spans="1:6" ht="21.5" customHeight="1">
      <c r="A72" s="7" t="s">
        <v>807</v>
      </c>
      <c r="B72" s="7" t="s">
        <v>388</v>
      </c>
      <c r="C72" s="7" t="s">
        <v>772</v>
      </c>
      <c r="D72" s="7" t="s">
        <v>808</v>
      </c>
      <c r="E72" s="7" t="s">
        <v>774</v>
      </c>
      <c r="F72" s="7" t="s">
        <v>476</v>
      </c>
    </row>
    <row r="73" spans="1:6" ht="21.5" customHeight="1">
      <c r="A73" s="6" t="s">
        <v>809</v>
      </c>
      <c r="B73" s="6" t="s">
        <v>388</v>
      </c>
      <c r="C73" s="6" t="s">
        <v>772</v>
      </c>
      <c r="D73" s="6" t="s">
        <v>810</v>
      </c>
      <c r="E73" s="6" t="s">
        <v>774</v>
      </c>
      <c r="F73" s="6" t="s">
        <v>307</v>
      </c>
    </row>
    <row r="74" spans="1:6" ht="21.5" customHeight="1">
      <c r="A74" s="7" t="s">
        <v>811</v>
      </c>
      <c r="B74" s="7" t="s">
        <v>388</v>
      </c>
      <c r="C74" s="7" t="s">
        <v>772</v>
      </c>
      <c r="D74" s="7" t="s">
        <v>812</v>
      </c>
      <c r="E74" s="7" t="s">
        <v>774</v>
      </c>
      <c r="F74" s="7" t="s">
        <v>485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showGridLines="0" workbookViewId="0"/>
  </sheetViews>
  <sheetFormatPr baseColWidth="10" defaultColWidth="8.83203125" defaultRowHeight="15"/>
  <cols>
    <col min="1" max="2" width="14" customWidth="1"/>
    <col min="3" max="4" width="24" customWidth="1"/>
  </cols>
  <sheetData>
    <row r="1" spans="1:4" ht="15" customHeight="1">
      <c r="A1" s="5" t="s">
        <v>15</v>
      </c>
      <c r="B1" s="5" t="s">
        <v>813</v>
      </c>
      <c r="C1" s="5" t="s">
        <v>814</v>
      </c>
      <c r="D1" s="5" t="s">
        <v>815</v>
      </c>
    </row>
    <row r="2" spans="1:4" ht="21.5" customHeight="1">
      <c r="A2" s="7" t="s">
        <v>816</v>
      </c>
      <c r="B2" s="7" t="s">
        <v>817</v>
      </c>
      <c r="C2" s="7" t="s">
        <v>818</v>
      </c>
      <c r="D2" s="7"/>
    </row>
    <row r="3" spans="1:4" ht="21.5" customHeight="1">
      <c r="A3" s="6" t="s">
        <v>819</v>
      </c>
      <c r="B3" s="6" t="s">
        <v>820</v>
      </c>
      <c r="C3" s="6" t="s">
        <v>821</v>
      </c>
      <c r="D3" s="6"/>
    </row>
    <row r="4" spans="1:4" ht="21.5" customHeight="1">
      <c r="A4" s="7" t="s">
        <v>822</v>
      </c>
      <c r="B4" s="7" t="s">
        <v>823</v>
      </c>
      <c r="C4" s="7" t="s">
        <v>824</v>
      </c>
      <c r="D4" s="7"/>
    </row>
    <row r="5" spans="1:4" ht="21.5" customHeight="1">
      <c r="A5" s="6" t="s">
        <v>825</v>
      </c>
      <c r="B5" s="6" t="s">
        <v>826</v>
      </c>
      <c r="C5" s="6" t="s">
        <v>827</v>
      </c>
      <c r="D5" s="6"/>
    </row>
    <row r="6" spans="1:4" ht="21.5" customHeight="1">
      <c r="A6" s="7" t="s">
        <v>828</v>
      </c>
      <c r="B6" s="7" t="s">
        <v>829</v>
      </c>
      <c r="C6" s="7" t="s">
        <v>830</v>
      </c>
      <c r="D6" s="7"/>
    </row>
    <row r="7" spans="1:4" ht="21.5" customHeight="1">
      <c r="A7" s="6" t="s">
        <v>831</v>
      </c>
      <c r="B7" s="6" t="s">
        <v>832</v>
      </c>
      <c r="C7" s="6" t="s">
        <v>833</v>
      </c>
      <c r="D7" s="6"/>
    </row>
    <row r="8" spans="1:4" ht="15" customHeight="1">
      <c r="A8" s="7" t="s">
        <v>834</v>
      </c>
      <c r="B8" s="7"/>
      <c r="C8" s="7"/>
      <c r="D8" s="7" t="s">
        <v>835</v>
      </c>
    </row>
    <row r="9" spans="1:4" ht="15" customHeight="1">
      <c r="A9" s="6" t="s">
        <v>836</v>
      </c>
      <c r="B9" s="6"/>
      <c r="C9" s="6"/>
      <c r="D9" s="6" t="s">
        <v>837</v>
      </c>
    </row>
    <row r="10" spans="1:4" ht="15" customHeight="1">
      <c r="A10" s="7" t="s">
        <v>838</v>
      </c>
      <c r="B10" s="7"/>
      <c r="C10" s="7"/>
      <c r="D10" s="7" t="s">
        <v>839</v>
      </c>
    </row>
    <row r="11" spans="1:4" ht="15" customHeight="1">
      <c r="A11" s="6" t="s">
        <v>840</v>
      </c>
      <c r="B11" s="6"/>
      <c r="C11" s="6"/>
      <c r="D11" s="6" t="s">
        <v>841</v>
      </c>
    </row>
    <row r="12" spans="1:4" ht="15" customHeight="1">
      <c r="A12" s="7" t="s">
        <v>842</v>
      </c>
      <c r="B12" s="7"/>
      <c r="C12" s="7"/>
      <c r="D12" s="7" t="s">
        <v>843</v>
      </c>
    </row>
    <row r="13" spans="1:4" ht="15" customHeight="1">
      <c r="A13" s="6" t="s">
        <v>844</v>
      </c>
      <c r="B13" s="6"/>
      <c r="C13" s="6"/>
      <c r="D13" s="6" t="s">
        <v>165</v>
      </c>
    </row>
    <row r="14" spans="1:4" ht="15" customHeight="1">
      <c r="A14" s="7" t="s">
        <v>845</v>
      </c>
      <c r="B14" s="7"/>
      <c r="C14" s="7"/>
      <c r="D14" s="7" t="s">
        <v>846</v>
      </c>
    </row>
    <row r="15" spans="1:4" ht="15" customHeight="1">
      <c r="A15" s="6" t="s">
        <v>847</v>
      </c>
      <c r="B15" s="6"/>
      <c r="C15" s="6"/>
      <c r="D15" s="6" t="s">
        <v>848</v>
      </c>
    </row>
    <row r="16" spans="1:4" ht="15" customHeight="1">
      <c r="A16" s="7" t="s">
        <v>849</v>
      </c>
      <c r="B16" s="7"/>
      <c r="C16" s="7"/>
      <c r="D16" s="7" t="s">
        <v>850</v>
      </c>
    </row>
    <row r="17" spans="1:4" ht="15" customHeight="1">
      <c r="A17" s="6" t="s">
        <v>851</v>
      </c>
      <c r="B17" s="6"/>
      <c r="C17" s="6"/>
      <c r="D17" s="6" t="s">
        <v>852</v>
      </c>
    </row>
    <row r="18" spans="1:4" ht="15" customHeight="1">
      <c r="A18" s="7" t="s">
        <v>853</v>
      </c>
      <c r="B18" s="7"/>
      <c r="C18" s="7"/>
      <c r="D18" s="7" t="s">
        <v>854</v>
      </c>
    </row>
    <row r="19" spans="1:4" ht="15" customHeight="1">
      <c r="A19" s="6" t="s">
        <v>855</v>
      </c>
      <c r="B19" s="6"/>
      <c r="C19" s="6"/>
      <c r="D19" s="6" t="s">
        <v>856</v>
      </c>
    </row>
    <row r="20" spans="1:4" ht="15" customHeight="1">
      <c r="A20" s="7" t="s">
        <v>857</v>
      </c>
      <c r="B20" s="7"/>
      <c r="C20" s="7"/>
      <c r="D20" s="7" t="s">
        <v>858</v>
      </c>
    </row>
    <row r="21" spans="1:4" ht="15" customHeight="1">
      <c r="A21" s="6" t="s">
        <v>859</v>
      </c>
      <c r="B21" s="6"/>
      <c r="C21" s="6"/>
      <c r="D21" s="6" t="s">
        <v>860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"/>
  <sheetViews>
    <sheetView showGridLines="0" workbookViewId="0"/>
  </sheetViews>
  <sheetFormatPr baseColWidth="10" defaultColWidth="8.83203125" defaultRowHeight="15"/>
  <cols>
    <col min="1" max="1" width="14" customWidth="1"/>
    <col min="2" max="5" width="24" customWidth="1"/>
  </cols>
  <sheetData>
    <row r="1" spans="1:5" ht="15" customHeight="1">
      <c r="A1" s="5" t="s">
        <v>15</v>
      </c>
      <c r="B1" s="5" t="s">
        <v>861</v>
      </c>
      <c r="C1" s="5" t="s">
        <v>862</v>
      </c>
      <c r="D1" s="5" t="s">
        <v>863</v>
      </c>
      <c r="E1" s="5" t="s">
        <v>864</v>
      </c>
    </row>
    <row r="2" spans="1:5" ht="21.5" customHeight="1">
      <c r="A2" s="7" t="s">
        <v>865</v>
      </c>
      <c r="B2" s="7" t="s">
        <v>866</v>
      </c>
      <c r="C2" s="7" t="s">
        <v>867</v>
      </c>
      <c r="D2" s="7" t="s">
        <v>868</v>
      </c>
      <c r="E2" s="7" t="s">
        <v>869</v>
      </c>
    </row>
    <row r="3" spans="1:5" ht="15" customHeight="1">
      <c r="A3" s="6" t="s">
        <v>870</v>
      </c>
      <c r="B3" s="6" t="s">
        <v>871</v>
      </c>
      <c r="C3" s="6" t="s">
        <v>868</v>
      </c>
      <c r="D3" s="6" t="s">
        <v>872</v>
      </c>
      <c r="E3" s="6" t="s">
        <v>873</v>
      </c>
    </row>
    <row r="4" spans="1:5" ht="15" customHeight="1">
      <c r="A4" s="7" t="s">
        <v>874</v>
      </c>
      <c r="B4" s="7" t="s">
        <v>875</v>
      </c>
      <c r="C4" s="7" t="s">
        <v>868</v>
      </c>
      <c r="D4" s="7" t="s">
        <v>876</v>
      </c>
      <c r="E4" s="7" t="s">
        <v>877</v>
      </c>
    </row>
    <row r="5" spans="1:5" ht="15" customHeight="1">
      <c r="A5" s="6" t="s">
        <v>878</v>
      </c>
      <c r="B5" s="6" t="s">
        <v>852</v>
      </c>
      <c r="C5" s="6" t="s">
        <v>868</v>
      </c>
      <c r="D5" s="6" t="s">
        <v>868</v>
      </c>
      <c r="E5" s="6" t="s">
        <v>879</v>
      </c>
    </row>
    <row r="6" spans="1:5" ht="15" customHeight="1">
      <c r="A6" s="7" t="s">
        <v>880</v>
      </c>
      <c r="B6" s="7" t="s">
        <v>881</v>
      </c>
      <c r="C6" s="7" t="s">
        <v>868</v>
      </c>
      <c r="D6" s="7" t="s">
        <v>868</v>
      </c>
      <c r="E6" s="7" t="s">
        <v>882</v>
      </c>
    </row>
    <row r="7" spans="1:5" ht="15" customHeight="1">
      <c r="A7" s="6" t="s">
        <v>883</v>
      </c>
      <c r="B7" s="6" t="s">
        <v>884</v>
      </c>
      <c r="C7" s="6" t="s">
        <v>868</v>
      </c>
      <c r="D7" s="6" t="s">
        <v>885</v>
      </c>
      <c r="E7" s="6" t="s">
        <v>886</v>
      </c>
    </row>
    <row r="8" spans="1:5" ht="15" customHeight="1">
      <c r="A8" s="7" t="s">
        <v>887</v>
      </c>
      <c r="B8" s="7" t="s">
        <v>888</v>
      </c>
      <c r="C8" s="7" t="s">
        <v>868</v>
      </c>
      <c r="D8" s="7" t="s">
        <v>868</v>
      </c>
      <c r="E8" s="7" t="s">
        <v>889</v>
      </c>
    </row>
    <row r="9" spans="1:5" ht="15" customHeight="1">
      <c r="A9" s="6" t="s">
        <v>890</v>
      </c>
      <c r="B9" s="6" t="s">
        <v>891</v>
      </c>
      <c r="C9" s="6" t="s">
        <v>868</v>
      </c>
      <c r="D9" s="6" t="s">
        <v>892</v>
      </c>
      <c r="E9" s="6" t="s">
        <v>893</v>
      </c>
    </row>
    <row r="10" spans="1:5" ht="15" customHeight="1">
      <c r="A10" s="7" t="s">
        <v>894</v>
      </c>
      <c r="B10" s="7" t="s">
        <v>895</v>
      </c>
      <c r="C10" s="7" t="s">
        <v>892</v>
      </c>
      <c r="D10" s="7" t="s">
        <v>868</v>
      </c>
      <c r="E10" s="7" t="s">
        <v>896</v>
      </c>
    </row>
    <row r="11" spans="1:5" ht="15" customHeight="1">
      <c r="A11" s="6" t="s">
        <v>897</v>
      </c>
      <c r="B11" s="6" t="s">
        <v>898</v>
      </c>
      <c r="C11" s="6" t="s">
        <v>899</v>
      </c>
      <c r="D11" s="6" t="s">
        <v>899</v>
      </c>
      <c r="E11" s="6" t="s">
        <v>900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7"/>
  <sheetViews>
    <sheetView showGridLines="0" workbookViewId="0"/>
  </sheetViews>
  <sheetFormatPr baseColWidth="10" defaultColWidth="8.83203125" defaultRowHeight="15"/>
  <cols>
    <col min="1" max="1" width="14" customWidth="1"/>
    <col min="2" max="2" width="24" customWidth="1"/>
    <col min="3" max="3" width="34" customWidth="1"/>
  </cols>
  <sheetData>
    <row r="1" spans="1:3" ht="15" customHeight="1">
      <c r="A1" s="5" t="s">
        <v>15</v>
      </c>
      <c r="B1" s="5" t="s">
        <v>901</v>
      </c>
      <c r="C1" s="5" t="s">
        <v>902</v>
      </c>
    </row>
    <row r="2" spans="1:3" ht="21.5" customHeight="1">
      <c r="A2" s="7" t="s">
        <v>903</v>
      </c>
      <c r="B2" s="7" t="s">
        <v>904</v>
      </c>
      <c r="C2" s="7" t="s">
        <v>905</v>
      </c>
    </row>
    <row r="3" spans="1:3" ht="15" customHeight="1">
      <c r="A3" s="6" t="s">
        <v>906</v>
      </c>
      <c r="B3" s="6" t="s">
        <v>907</v>
      </c>
      <c r="C3" s="6" t="s">
        <v>908</v>
      </c>
    </row>
    <row r="4" spans="1:3" ht="21.5" customHeight="1">
      <c r="A4" s="7" t="s">
        <v>909</v>
      </c>
      <c r="B4" s="7" t="s">
        <v>910</v>
      </c>
      <c r="C4" s="7" t="s">
        <v>911</v>
      </c>
    </row>
    <row r="5" spans="1:3" ht="32.5" customHeight="1">
      <c r="A5" s="6" t="s">
        <v>912</v>
      </c>
      <c r="B5" s="6" t="s">
        <v>913</v>
      </c>
      <c r="C5" s="6" t="s">
        <v>914</v>
      </c>
    </row>
    <row r="6" spans="1:3" ht="21.5" customHeight="1">
      <c r="A6" s="7" t="s">
        <v>915</v>
      </c>
      <c r="B6" s="7" t="s">
        <v>916</v>
      </c>
      <c r="C6" s="7" t="s">
        <v>917</v>
      </c>
    </row>
    <row r="7" spans="1:3" ht="21.5" customHeight="1">
      <c r="A7" s="6" t="s">
        <v>918</v>
      </c>
      <c r="B7" s="6" t="s">
        <v>919</v>
      </c>
      <c r="C7" s="6" t="s">
        <v>920</v>
      </c>
    </row>
    <row r="8" spans="1:3" ht="15" customHeight="1">
      <c r="A8" s="7" t="s">
        <v>921</v>
      </c>
      <c r="B8" s="7" t="s">
        <v>922</v>
      </c>
      <c r="C8" s="7" t="s">
        <v>923</v>
      </c>
    </row>
    <row r="9" spans="1:3" ht="15" customHeight="1">
      <c r="A9" s="6" t="s">
        <v>924</v>
      </c>
      <c r="B9" s="6" t="s">
        <v>530</v>
      </c>
      <c r="C9" s="6" t="s">
        <v>925</v>
      </c>
    </row>
    <row r="10" spans="1:3" ht="21.5" customHeight="1">
      <c r="A10" s="7" t="s">
        <v>926</v>
      </c>
      <c r="B10" s="7" t="s">
        <v>927</v>
      </c>
      <c r="C10" s="7" t="s">
        <v>928</v>
      </c>
    </row>
    <row r="11" spans="1:3" ht="21.5" customHeight="1">
      <c r="A11" s="6" t="s">
        <v>929</v>
      </c>
      <c r="B11" s="6" t="s">
        <v>930</v>
      </c>
      <c r="C11" s="6" t="s">
        <v>931</v>
      </c>
    </row>
    <row r="12" spans="1:3" ht="15" customHeight="1">
      <c r="A12" s="7" t="s">
        <v>932</v>
      </c>
      <c r="B12" s="7" t="s">
        <v>933</v>
      </c>
      <c r="C12" s="7" t="s">
        <v>934</v>
      </c>
    </row>
    <row r="13" spans="1:3" ht="15" customHeight="1">
      <c r="A13" s="6" t="s">
        <v>935</v>
      </c>
      <c r="B13" s="6" t="s">
        <v>936</v>
      </c>
      <c r="C13" s="6" t="s">
        <v>937</v>
      </c>
    </row>
    <row r="14" spans="1:3" ht="15" customHeight="1">
      <c r="A14" s="7" t="s">
        <v>938</v>
      </c>
      <c r="B14" s="7" t="s">
        <v>939</v>
      </c>
      <c r="C14" s="7" t="s">
        <v>940</v>
      </c>
    </row>
    <row r="15" spans="1:3" ht="21.5" customHeight="1">
      <c r="A15" s="6" t="s">
        <v>941</v>
      </c>
      <c r="B15" s="6" t="s">
        <v>942</v>
      </c>
      <c r="C15" s="6" t="s">
        <v>943</v>
      </c>
    </row>
    <row r="16" spans="1:3" ht="21.5" customHeight="1">
      <c r="A16" s="7" t="s">
        <v>944</v>
      </c>
      <c r="B16" s="7" t="s">
        <v>945</v>
      </c>
      <c r="C16" s="7" t="s">
        <v>946</v>
      </c>
    </row>
    <row r="17" spans="1:3" ht="15" customHeight="1">
      <c r="A17" s="6" t="s">
        <v>947</v>
      </c>
      <c r="B17" s="6" t="s">
        <v>948</v>
      </c>
      <c r="C17" s="6" t="s">
        <v>949</v>
      </c>
    </row>
    <row r="18" spans="1:3" ht="21.5" customHeight="1">
      <c r="A18" s="7" t="s">
        <v>950</v>
      </c>
      <c r="B18" s="7" t="s">
        <v>951</v>
      </c>
      <c r="C18" s="7" t="s">
        <v>952</v>
      </c>
    </row>
    <row r="19" spans="1:3" ht="32.5" customHeight="1">
      <c r="A19" s="6" t="s">
        <v>953</v>
      </c>
      <c r="B19" s="6" t="s">
        <v>954</v>
      </c>
      <c r="C19" s="6" t="s">
        <v>955</v>
      </c>
    </row>
    <row r="20" spans="1:3" ht="15" customHeight="1">
      <c r="A20" s="7" t="s">
        <v>956</v>
      </c>
      <c r="B20" s="7" t="s">
        <v>957</v>
      </c>
      <c r="C20" s="7" t="s">
        <v>958</v>
      </c>
    </row>
    <row r="21" spans="1:3" ht="32.5" customHeight="1">
      <c r="A21" s="6" t="s">
        <v>959</v>
      </c>
      <c r="B21" s="6" t="s">
        <v>960</v>
      </c>
      <c r="C21" s="6" t="s">
        <v>961</v>
      </c>
    </row>
    <row r="22" spans="1:3" ht="15" customHeight="1">
      <c r="A22" s="7" t="s">
        <v>962</v>
      </c>
      <c r="B22" s="7" t="s">
        <v>963</v>
      </c>
      <c r="C22" s="7" t="s">
        <v>964</v>
      </c>
    </row>
    <row r="23" spans="1:3" ht="32.5" customHeight="1">
      <c r="A23" s="6" t="s">
        <v>965</v>
      </c>
      <c r="B23" s="6" t="s">
        <v>966</v>
      </c>
      <c r="C23" s="6" t="s">
        <v>967</v>
      </c>
    </row>
    <row r="24" spans="1:3" ht="15" customHeight="1">
      <c r="A24" s="7" t="s">
        <v>968</v>
      </c>
      <c r="B24" s="7" t="s">
        <v>969</v>
      </c>
      <c r="C24" s="7" t="s">
        <v>970</v>
      </c>
    </row>
    <row r="25" spans="1:3" ht="32.5" customHeight="1">
      <c r="A25" s="6" t="s">
        <v>971</v>
      </c>
      <c r="B25" s="6" t="s">
        <v>972</v>
      </c>
      <c r="C25" s="6" t="s">
        <v>973</v>
      </c>
    </row>
    <row r="26" spans="1:3" ht="32.5" customHeight="1">
      <c r="A26" s="7" t="s">
        <v>974</v>
      </c>
      <c r="B26" s="7" t="s">
        <v>975</v>
      </c>
      <c r="C26" s="7" t="s">
        <v>976</v>
      </c>
    </row>
    <row r="27" spans="1:3" ht="15" customHeight="1">
      <c r="A27" s="6" t="s">
        <v>977</v>
      </c>
      <c r="B27" s="6" t="s">
        <v>978</v>
      </c>
      <c r="C27" s="6" t="s">
        <v>979</v>
      </c>
    </row>
    <row r="28" spans="1:3" ht="15" customHeight="1">
      <c r="A28" s="7" t="s">
        <v>980</v>
      </c>
      <c r="B28" s="7" t="s">
        <v>981</v>
      </c>
      <c r="C28" s="7" t="s">
        <v>982</v>
      </c>
    </row>
    <row r="29" spans="1:3" ht="21.5" customHeight="1">
      <c r="A29" s="6" t="s">
        <v>983</v>
      </c>
      <c r="B29" s="6" t="s">
        <v>984</v>
      </c>
      <c r="C29" s="6" t="s">
        <v>985</v>
      </c>
    </row>
    <row r="30" spans="1:3" ht="15" customHeight="1">
      <c r="A30" s="7" t="s">
        <v>986</v>
      </c>
      <c r="B30" s="7" t="s">
        <v>987</v>
      </c>
      <c r="C30" s="7" t="s">
        <v>988</v>
      </c>
    </row>
    <row r="31" spans="1:3" ht="21.5" customHeight="1">
      <c r="A31" s="6" t="s">
        <v>989</v>
      </c>
      <c r="B31" s="6" t="s">
        <v>990</v>
      </c>
      <c r="C31" s="6" t="s">
        <v>991</v>
      </c>
    </row>
    <row r="32" spans="1:3" ht="21.5" customHeight="1">
      <c r="A32" s="7" t="s">
        <v>992</v>
      </c>
      <c r="B32" s="7" t="s">
        <v>993</v>
      </c>
      <c r="C32" s="7" t="s">
        <v>994</v>
      </c>
    </row>
    <row r="33" spans="1:3" ht="21.5" customHeight="1">
      <c r="A33" s="6" t="s">
        <v>995</v>
      </c>
      <c r="B33" s="6" t="s">
        <v>996</v>
      </c>
      <c r="C33" s="6" t="s">
        <v>997</v>
      </c>
    </row>
    <row r="34" spans="1:3" ht="32.5" customHeight="1">
      <c r="A34" s="7" t="s">
        <v>998</v>
      </c>
      <c r="B34" s="7" t="s">
        <v>999</v>
      </c>
      <c r="C34" s="7" t="s">
        <v>1000</v>
      </c>
    </row>
    <row r="35" spans="1:3" ht="32.5" customHeight="1">
      <c r="A35" s="6" t="s">
        <v>1001</v>
      </c>
      <c r="B35" s="6" t="s">
        <v>1002</v>
      </c>
      <c r="C35" s="6" t="s">
        <v>1003</v>
      </c>
    </row>
    <row r="36" spans="1:3" ht="32.5" customHeight="1">
      <c r="A36" s="7" t="s">
        <v>1004</v>
      </c>
      <c r="B36" s="7" t="s">
        <v>1005</v>
      </c>
      <c r="C36" s="7" t="s">
        <v>1006</v>
      </c>
    </row>
    <row r="37" spans="1:3" ht="15" customHeight="1">
      <c r="A37" s="6" t="s">
        <v>1007</v>
      </c>
      <c r="B37" s="6" t="s">
        <v>1008</v>
      </c>
      <c r="C37" s="6" t="s">
        <v>1009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3"/>
  <sheetViews>
    <sheetView showGridLines="0" workbookViewId="0"/>
  </sheetViews>
  <sheetFormatPr baseColWidth="10" defaultColWidth="8.83203125" defaultRowHeight="15"/>
  <cols>
    <col min="1" max="1" width="14" customWidth="1"/>
    <col min="2" max="2" width="34" customWidth="1"/>
    <col min="3" max="3" width="24" customWidth="1"/>
  </cols>
  <sheetData>
    <row r="1" spans="1:3" ht="15" customHeight="1">
      <c r="A1" s="5" t="s">
        <v>15</v>
      </c>
      <c r="B1" s="5" t="s">
        <v>1010</v>
      </c>
      <c r="C1" s="5" t="s">
        <v>1011</v>
      </c>
    </row>
    <row r="2" spans="1:3" ht="15" customHeight="1">
      <c r="A2" s="7" t="s">
        <v>1012</v>
      </c>
      <c r="B2" s="7" t="s">
        <v>1013</v>
      </c>
      <c r="C2" s="11" t="s">
        <v>1014</v>
      </c>
    </row>
    <row r="3" spans="1:3" ht="15" customHeight="1">
      <c r="A3" s="6" t="s">
        <v>1015</v>
      </c>
      <c r="B3" s="6" t="s">
        <v>1016</v>
      </c>
      <c r="C3" s="11" t="s">
        <v>1014</v>
      </c>
    </row>
    <row r="4" spans="1:3" ht="15" customHeight="1">
      <c r="A4" s="7" t="s">
        <v>1017</v>
      </c>
      <c r="B4" s="7" t="s">
        <v>1018</v>
      </c>
      <c r="C4" s="11" t="s">
        <v>1014</v>
      </c>
    </row>
    <row r="5" spans="1:3" ht="15" customHeight="1">
      <c r="A5" s="6" t="s">
        <v>1019</v>
      </c>
      <c r="B5" s="6" t="s">
        <v>1020</v>
      </c>
      <c r="C5" s="11" t="s">
        <v>1014</v>
      </c>
    </row>
    <row r="6" spans="1:3" ht="15" customHeight="1">
      <c r="A6" s="7" t="s">
        <v>1021</v>
      </c>
      <c r="B6" s="7" t="s">
        <v>1022</v>
      </c>
      <c r="C6" s="11" t="s">
        <v>1014</v>
      </c>
    </row>
    <row r="7" spans="1:3" ht="15" customHeight="1">
      <c r="A7" s="6" t="s">
        <v>1023</v>
      </c>
      <c r="B7" s="6" t="s">
        <v>1024</v>
      </c>
      <c r="C7" s="11" t="s">
        <v>1014</v>
      </c>
    </row>
    <row r="8" spans="1:3" ht="15" customHeight="1">
      <c r="A8" s="7" t="s">
        <v>1025</v>
      </c>
      <c r="B8" s="7" t="s">
        <v>1026</v>
      </c>
      <c r="C8" s="11" t="s">
        <v>1014</v>
      </c>
    </row>
    <row r="9" spans="1:3" ht="15" customHeight="1">
      <c r="A9" s="6" t="s">
        <v>1027</v>
      </c>
      <c r="B9" s="6" t="s">
        <v>1028</v>
      </c>
      <c r="C9" s="11" t="s">
        <v>1014</v>
      </c>
    </row>
    <row r="10" spans="1:3" ht="15" customHeight="1">
      <c r="A10" s="7" t="s">
        <v>1029</v>
      </c>
      <c r="B10" s="7" t="s">
        <v>1030</v>
      </c>
      <c r="C10" s="11" t="s">
        <v>1014</v>
      </c>
    </row>
    <row r="11" spans="1:3" ht="15" customHeight="1">
      <c r="A11" s="6" t="s">
        <v>1031</v>
      </c>
      <c r="B11" s="6" t="s">
        <v>1032</v>
      </c>
      <c r="C11" s="11" t="s">
        <v>1014</v>
      </c>
    </row>
    <row r="12" spans="1:3" ht="15" customHeight="1">
      <c r="A12" s="7" t="s">
        <v>1033</v>
      </c>
      <c r="B12" s="7" t="s">
        <v>1034</v>
      </c>
      <c r="C12" s="11" t="s">
        <v>1014</v>
      </c>
    </row>
    <row r="13" spans="1:3" ht="15" customHeight="1">
      <c r="A13" s="6" t="s">
        <v>1035</v>
      </c>
      <c r="B13" s="6" t="s">
        <v>1036</v>
      </c>
      <c r="C13" s="11" t="s">
        <v>1014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5"/>
  <sheetViews>
    <sheetView showGridLines="0" workbookViewId="0"/>
  </sheetViews>
  <sheetFormatPr baseColWidth="10" defaultColWidth="8.83203125" defaultRowHeight="15"/>
  <cols>
    <col min="1" max="1" width="24" customWidth="1"/>
    <col min="2" max="4" width="17" customWidth="1"/>
  </cols>
  <sheetData>
    <row r="1" spans="1:4">
      <c r="A1" s="12" t="s">
        <v>1037</v>
      </c>
      <c r="B1" s="12" t="s">
        <v>1038</v>
      </c>
      <c r="C1" s="12" t="s">
        <v>1039</v>
      </c>
      <c r="D1" s="12" t="s">
        <v>1040</v>
      </c>
    </row>
    <row r="2" spans="1:4">
      <c r="A2" s="2" t="s">
        <v>1041</v>
      </c>
      <c r="B2" s="2">
        <v>4</v>
      </c>
      <c r="C2" s="2">
        <f>COUNTA(Market!A2:A5)</f>
        <v>4</v>
      </c>
      <c r="D2" s="2" t="str">
        <f t="shared" ref="D2:D15" si="0">IF(B2=C2,"OK","CHECK")</f>
        <v>OK</v>
      </c>
    </row>
    <row r="3" spans="1:4">
      <c r="A3" s="2" t="s">
        <v>1042</v>
      </c>
      <c r="B3" s="2">
        <v>12</v>
      </c>
      <c r="C3" s="2">
        <f>COUNTA(Archetypes!A2:A13)</f>
        <v>12</v>
      </c>
      <c r="D3" s="2" t="str">
        <f t="shared" si="0"/>
        <v>OK</v>
      </c>
    </row>
    <row r="4" spans="1:4">
      <c r="A4" s="2" t="s">
        <v>1043</v>
      </c>
      <c r="B4" s="2">
        <v>15</v>
      </c>
      <c r="C4" s="2">
        <f>COUNTA(Personas!A2:A16)</f>
        <v>15</v>
      </c>
      <c r="D4" s="2" t="str">
        <f t="shared" si="0"/>
        <v>OK</v>
      </c>
    </row>
    <row r="5" spans="1:4">
      <c r="A5" s="2" t="s">
        <v>1044</v>
      </c>
      <c r="B5" s="2">
        <v>29</v>
      </c>
      <c r="C5" s="2">
        <f>COUNTA(Processes!A2:A30)</f>
        <v>29</v>
      </c>
      <c r="D5" s="2" t="str">
        <f t="shared" si="0"/>
        <v>OK</v>
      </c>
    </row>
    <row r="6" spans="1:4">
      <c r="A6" s="2" t="s">
        <v>1045</v>
      </c>
      <c r="B6" s="2">
        <v>10</v>
      </c>
      <c r="C6" s="2">
        <f>COUNTA(Pain_Groups!A2:A11)</f>
        <v>10</v>
      </c>
      <c r="D6" s="2" t="str">
        <f t="shared" si="0"/>
        <v>OK</v>
      </c>
    </row>
    <row r="7" spans="1:4">
      <c r="A7" s="2" t="s">
        <v>1046</v>
      </c>
      <c r="B7" s="2">
        <v>20</v>
      </c>
      <c r="C7" s="2">
        <f>COUNTA(KPIs!A2:A21)</f>
        <v>20</v>
      </c>
      <c r="D7" s="2" t="str">
        <f t="shared" si="0"/>
        <v>OK</v>
      </c>
    </row>
    <row r="8" spans="1:4">
      <c r="A8" s="2" t="s">
        <v>1047</v>
      </c>
      <c r="B8" s="2">
        <v>12</v>
      </c>
      <c r="C8" s="2">
        <f>COUNTA(Benchmarks!A2:A13)</f>
        <v>12</v>
      </c>
      <c r="D8" s="2" t="str">
        <f t="shared" si="0"/>
        <v>OK</v>
      </c>
    </row>
    <row r="9" spans="1:4">
      <c r="A9" s="2" t="s">
        <v>1048</v>
      </c>
      <c r="B9" s="2">
        <v>16</v>
      </c>
      <c r="C9" s="2">
        <f>COUNTA(PANTHEON!A2:A17)</f>
        <v>16</v>
      </c>
      <c r="D9" s="2" t="str">
        <f t="shared" si="0"/>
        <v>OK</v>
      </c>
    </row>
    <row r="10" spans="1:4">
      <c r="A10" s="2" t="s">
        <v>1049</v>
      </c>
      <c r="B10" s="2">
        <v>9</v>
      </c>
      <c r="C10" s="2">
        <f>COUNTA(ICP_Scoring!A2:A10)</f>
        <v>9</v>
      </c>
      <c r="D10" s="2" t="str">
        <f t="shared" si="0"/>
        <v>OK</v>
      </c>
    </row>
    <row r="11" spans="1:4">
      <c r="A11" s="2" t="s">
        <v>1050</v>
      </c>
      <c r="B11" s="2">
        <v>73</v>
      </c>
      <c r="C11" s="2">
        <f>COUNTA(Questions!A2:A74)</f>
        <v>73</v>
      </c>
      <c r="D11" s="2" t="str">
        <f t="shared" si="0"/>
        <v>OK</v>
      </c>
    </row>
    <row r="12" spans="1:4">
      <c r="A12" s="2" t="s">
        <v>1051</v>
      </c>
      <c r="B12" s="2">
        <v>20</v>
      </c>
      <c r="C12" s="2">
        <f>COUNTA(Maturity!A2:A21)</f>
        <v>20</v>
      </c>
      <c r="D12" s="2" t="str">
        <f t="shared" si="0"/>
        <v>OK</v>
      </c>
    </row>
    <row r="13" spans="1:4">
      <c r="A13" s="2" t="s">
        <v>1052</v>
      </c>
      <c r="B13" s="2">
        <v>10</v>
      </c>
      <c r="C13" s="2">
        <f>COUNTA(TCO!A2:A11)</f>
        <v>10</v>
      </c>
      <c r="D13" s="2" t="str">
        <f t="shared" si="0"/>
        <v>OK</v>
      </c>
    </row>
    <row r="14" spans="1:4">
      <c r="A14" s="2" t="s">
        <v>1053</v>
      </c>
      <c r="B14" s="2">
        <v>36</v>
      </c>
      <c r="C14" s="2">
        <f>COUNTA(Sources!A2:A37)</f>
        <v>36</v>
      </c>
      <c r="D14" s="2" t="str">
        <f t="shared" si="0"/>
        <v>OK</v>
      </c>
    </row>
    <row r="15" spans="1:4">
      <c r="A15" s="2" t="s">
        <v>1054</v>
      </c>
      <c r="B15" s="2">
        <v>12</v>
      </c>
      <c r="C15" s="2">
        <f>COUNTA(Open_Gaps!A2:A13)</f>
        <v>12</v>
      </c>
      <c r="D15" s="2" t="str">
        <f t="shared" si="0"/>
        <v>OK</v>
      </c>
    </row>
  </sheetData>
  <conditionalFormatting sqref="D2:D15">
    <cfRule type="expression" dxfId="0" priority="1">
      <formula>D2="CHECK"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Market</vt:lpstr>
      <vt:lpstr>Archetypes</vt:lpstr>
      <vt:lpstr>Personas</vt:lpstr>
      <vt:lpstr>Processes</vt:lpstr>
      <vt:lpstr>ICP_Scoring</vt:lpstr>
      <vt:lpstr>Pain_Groups</vt:lpstr>
      <vt:lpstr>KPIs</vt:lpstr>
      <vt:lpstr>Benchmarks</vt:lpstr>
      <vt:lpstr>PANTHEON</vt:lpstr>
      <vt:lpstr>Questions</vt:lpstr>
      <vt:lpstr>Maturity</vt:lpstr>
      <vt:lpstr>TCO</vt:lpstr>
      <vt:lpstr>Sources</vt:lpstr>
      <vt:lpstr>Open_Gaps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Pavlič, Jan</cp:lastModifiedBy>
  <dcterms:modified xsi:type="dcterms:W3CDTF">2026-08-10T06:13:49Z</dcterms:modified>
</cp:coreProperties>
</file>