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dd41bda68b4c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slovnica" sheetId="1" r:id="R2104ef1f4ec94e6d"/>
    <x:sheet xmlns:r="http://schemas.openxmlformats.org/officeDocument/2006/relationships" name="Predpostavke" sheetId="2" r:id="R1c98119dc7e7424e"/>
    <x:sheet xmlns:r="http://schemas.openxmlformats.org/officeDocument/2006/relationships" name="ROI_Model" sheetId="3" r:id="R79f5afe3fb3749b6"/>
    <x:sheet xmlns:r="http://schemas.openxmlformats.org/officeDocument/2006/relationships" name="Kontrole" sheetId="4" r:id="R500044b28769480f"/>
    <x:sheet xmlns:r="http://schemas.openxmlformats.org/officeDocument/2006/relationships" name="Trzni_benchmarki" sheetId="5" r:id="R76037c17e78d466e"/>
    <x:sheet xmlns:r="http://schemas.openxmlformats.org/officeDocument/2006/relationships" name="Segmenti" sheetId="6" r:id="R49bc0766b4f34a31"/>
    <x:sheet xmlns:r="http://schemas.openxmlformats.org/officeDocument/2006/relationships" name="Arhetipi" sheetId="7" r:id="R85a261a56f9740f0"/>
    <x:sheet xmlns:r="http://schemas.openxmlformats.org/officeDocument/2006/relationships" name="Procesi" sheetId="8" r:id="Ra3ba6f500acd4669"/>
    <x:sheet xmlns:r="http://schemas.openxmlformats.org/officeDocument/2006/relationships" name="Podprocesi" sheetId="9" r:id="R98e47fb246844749"/>
    <x:sheet xmlns:r="http://schemas.openxmlformats.org/officeDocument/2006/relationships" name="Katalog_bolecin" sheetId="10" r:id="R9f4f30dcf4374001"/>
    <x:sheet xmlns:r="http://schemas.openxmlformats.org/officeDocument/2006/relationships" name="KPI_slovar" sheetId="11" r:id="Re8c571e36c234e49"/>
    <x:sheet xmlns:r="http://schemas.openxmlformats.org/officeDocument/2006/relationships" name="Financne_formule" sheetId="12" r:id="Re8a4a5928e594bb3"/>
    <x:sheet xmlns:r="http://schemas.openxmlformats.org/officeDocument/2006/relationships" name="Bolecina_resitev" sheetId="13" r:id="Rf02f3be3b4814691"/>
    <x:sheet xmlns:r="http://schemas.openxmlformats.org/officeDocument/2006/relationships" name="PANTHEON_zemljevid" sheetId="14" r:id="R2e56e9c9f94c487f"/>
    <x:sheet xmlns:r="http://schemas.openxmlformats.org/officeDocument/2006/relationships" name="Predpogoji_funkcij" sheetId="15" r:id="Reb7a7b641a444ccb"/>
    <x:sheet xmlns:r="http://schemas.openxmlformats.org/officeDocument/2006/relationships" name="Vprasalnik" sheetId="16" r:id="Rccd7b98097884dd2"/>
    <x:sheet xmlns:r="http://schemas.openxmlformats.org/officeDocument/2006/relationships" name="Regulatorni_koledar" sheetId="17" r:id="R9e843fc68f4140f7"/>
    <x:sheet xmlns:r="http://schemas.openxmlformats.org/officeDocument/2006/relationships" name="Integracije" sheetId="18" r:id="R0bb0040d57c74d99"/>
    <x:sheet xmlns:r="http://schemas.openxmlformats.org/officeDocument/2006/relationships" name="Register_virov" sheetId="19" r:id="Rcf3c5ff063c148aa"/>
    <x:sheet xmlns:r="http://schemas.openxmlformats.org/officeDocument/2006/relationships" name="Raziskovalne_vrzeli" sheetId="20" r:id="R6d6fa55485c743c0"/>
    <x:sheet xmlns:r="http://schemas.openxmlformats.org/officeDocument/2006/relationships" name="Hipoteze" sheetId="21" r:id="R3fbfe65a7e0a418c"/>
    <x:sheet xmlns:r="http://schemas.openxmlformats.org/officeDocument/2006/relationships" name="Segment_bolecina" sheetId="22" r:id="Re569abffb028405b"/>
    <x:sheet xmlns:r="http://schemas.openxmlformats.org/officeDocument/2006/relationships" name="Persona_bolecina" sheetId="23" r:id="R51662d1daea64ff7"/>
    <x:sheet xmlns:r="http://schemas.openxmlformats.org/officeDocument/2006/relationships" name="Proces_KPI" sheetId="24" r:id="R87b356d9599640b1"/>
    <x:sheet xmlns:r="http://schemas.openxmlformats.org/officeDocument/2006/relationships" name="Bolecina_finance" sheetId="25" r:id="R34b2c35d0b32417e"/>
    <x:sheet xmlns:r="http://schemas.openxmlformats.org/officeDocument/2006/relationships" name="Problem_podatki" sheetId="26" r:id="R6ef80b8ba8ff4aee"/>
    <x:sheet xmlns:r="http://schemas.openxmlformats.org/officeDocument/2006/relationships" name="ICP_scoring" sheetId="27" r:id="Rc638a656e8d547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#,##0 [$€-x-euro2]"/>
    <x:numFmt numFmtId="202" formatCode="0.0%"/>
    <x:numFmt numFmtId="203" formatCode="#,##0.00 [$€-x-euro2]"/>
    <x:numFmt numFmtId="204" formatCode="#,##0.0"/>
    <x:numFmt numFmtId="205" formatCode="0%"/>
  </x:numFmts>
  <x:fonts count="13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B7280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24"/>
      <x:color rgb="FFFFFFFF"/>
      <x:name val="Carlito"/>
    </x:font>
    <x:font>
      <x:b/>
      <x:sz val="12"/>
      <x:color rgb="FFFFFFFF"/>
      <x:name val="Carlito"/>
    </x:font>
    <x:font>
      <x:sz val="12"/>
      <x:color rgb="FF17324D"/>
      <x:name val="Carlito"/>
    </x:font>
    <x:font>
      <x:b/>
      <x:sz val="11"/>
      <x:color rgb="FF17324D"/>
      <x:name val="Carlito"/>
    </x:font>
    <x:font>
      <x:i/>
      <x:sz val="11"/>
      <x:color rgb="FF6B7280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sz val="10"/>
      <x:color rgb="FFFF0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EF5F7"/>
      </x:patternFill>
    </x:fill>
    <x:fill>
      <x:patternFill patternType="solid">
        <x:fgColor rgb="FF007C83"/>
      </x:patternFill>
    </x:fill>
    <x:fill>
      <x:patternFill patternType="solid">
        <x:fgColor rgb="FFF8FAFC"/>
      </x:patternFill>
    </x:fill>
    <x:fill>
      <x:patternFill patternType="solid">
        <x:fgColor rgb="FFFFF1CC"/>
      </x:patternFill>
    </x:fill>
    <x:fill>
      <x:patternFill patternType="solid">
        <x:fgColor rgb="FFDFF2E1"/>
      </x:patternFill>
    </x:fill>
  </x:fills>
  <x:borders count="3">
    <x:border/>
    <x:border>
      <x:left style="thin">
        <x:color rgb="FFCCD6DF"/>
      </x:left>
      <x:right style="thin">
        <x:color rgb="FFCCD6DF"/>
      </x:right>
      <x:top style="thin">
        <x:color rgb="FFCCD6DF"/>
      </x:top>
      <x:bottom style="thin">
        <x:color rgb="FFCCD6DF"/>
      </x:bottom>
    </x:border>
    <x:border>
      <x:left style="medium">
        <x:color rgb="FF007C83"/>
      </x:left>
      <x:right style="medium">
        <x:color rgb="FF007C83"/>
      </x:right>
      <x:top style="medium">
        <x:color rgb="FF007C83"/>
      </x:top>
      <x:bottom style="medium">
        <x:color rgb="FF007C83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left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4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2" xfId="0" applyNumberFormat="1" applyFont="1" applyFill="1" applyBorder="1"/>
    <x:xf numFmtId="0" fontId="7" fillId="3" borderId="2" xfId="0" applyNumberFormat="1" applyFont="1" applyFill="1" applyBorder="1" applyAlignment="1">
      <x:alignment wrapText="1"/>
    </x:xf>
    <x:xf numFmtId="0" fontId="7" fillId="3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202" fontId="10" fillId="0" borderId="1" xfId="0" applyNumberFormat="1" applyFont="1" applyFill="1" applyBorder="1" applyAlignment="1">
      <x:alignment vertical="top" wrapText="1"/>
    </x:xf>
    <x:xf numFmtId="203" fontId="10" fillId="0" borderId="1" xfId="0" applyNumberFormat="1" applyFont="1" applyFill="1" applyBorder="1" applyAlignment="1">
      <x:alignment vertical="top" wrapText="1"/>
    </x:xf>
    <x:xf numFmtId="201" fontId="10" fillId="0" borderId="1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 applyAlignment="1">
      <x:alignment wrapText="1"/>
    </x:xf>
    <x:xf numFmtId="204" fontId="11" fillId="0" borderId="1" xfId="0" applyNumberFormat="1" applyFont="1" applyFill="1" applyBorder="1" applyAlignment="1">
      <x:alignment wrapText="1"/>
    </x:xf>
    <x:xf numFmtId="201" fontId="11" fillId="0" borderId="1" xfId="0" applyNumberFormat="1" applyFont="1" applyFill="1" applyBorder="1" applyAlignment="1">
      <x:alignment wrapText="1"/>
    </x:xf>
    <x:xf numFmtId="202" fontId="11" fillId="0" borderId="1" xfId="0" applyNumberFormat="1" applyFont="1" applyFill="1" applyBorder="1" applyAlignment="1">
      <x:alignment wrapText="1"/>
    </x:xf>
    <x:xf numFmtId="200" fontId="11" fillId="0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2" fontId="11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1" fontId="11" fillId="7" borderId="1" xfId="0" applyNumberFormat="1" applyFont="1" applyFill="1" applyBorder="1" applyAlignment="1">
      <x:alignment wrapText="1"/>
    </x:xf>
    <x:xf numFmtId="202" fontId="11" fillId="7" borderId="1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vertical="top" wrapText="1"/>
    </x:xf>
    <x:xf numFmtId="201" fontId="4" fillId="5" borderId="1" xfId="0" applyNumberFormat="1" applyFont="1" applyFill="1" applyBorder="1" applyAlignment="1">
      <x:alignment vertical="top" wrapText="1"/>
    </x:xf>
    <x:xf numFmtId="202" fontId="4" fillId="5" borderId="1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0" fontId="12" fillId="0" borderId="1" xfId="0" applyNumberFormat="1" applyFont="1" applyFill="1" applyBorder="1" applyAlignment="1">
      <x:alignment vertical="top" wrapText="1"/>
    </x:xf>
    <x:xf numFmtId="0" fontId="12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7bddb23d9747e1" /><Relationship Type="http://schemas.openxmlformats.org/officeDocument/2006/relationships/theme" Target="/xl/theme/theme1.xml" Id="Raeecbc3db94a4aef" /><Relationship Type="http://schemas.openxmlformats.org/officeDocument/2006/relationships/sharedStrings" Target="/xl/sharedStrings.xml" Id="Rdcff5d1aa2964ac6" /><Relationship Type="http://schemas.openxmlformats.org/officeDocument/2006/relationships/worksheet" Target="/xl/worksheets/sheet1.xml" Id="R2104ef1f4ec94e6d" /><Relationship Type="http://schemas.openxmlformats.org/officeDocument/2006/relationships/worksheet" Target="/xl/worksheets/sheet2.xml" Id="R1c98119dc7e7424e" /><Relationship Type="http://schemas.openxmlformats.org/officeDocument/2006/relationships/worksheet" Target="/xl/worksheets/sheet3.xml" Id="R79f5afe3fb3749b6" /><Relationship Type="http://schemas.openxmlformats.org/officeDocument/2006/relationships/worksheet" Target="/xl/worksheets/sheet4.xml" Id="R500044b28769480f" /><Relationship Type="http://schemas.openxmlformats.org/officeDocument/2006/relationships/worksheet" Target="/xl/worksheets/sheet5.xml" Id="R76037c17e78d466e" /><Relationship Type="http://schemas.openxmlformats.org/officeDocument/2006/relationships/worksheet" Target="/xl/worksheets/sheet6.xml" Id="R49bc0766b4f34a31" /><Relationship Type="http://schemas.openxmlformats.org/officeDocument/2006/relationships/worksheet" Target="/xl/worksheets/sheet7.xml" Id="R85a261a56f9740f0" /><Relationship Type="http://schemas.openxmlformats.org/officeDocument/2006/relationships/worksheet" Target="/xl/worksheets/sheet8.xml" Id="Ra3ba6f500acd4669" /><Relationship Type="http://schemas.openxmlformats.org/officeDocument/2006/relationships/worksheet" Target="/xl/worksheets/sheet9.xml" Id="R98e47fb246844749" /><Relationship Type="http://schemas.openxmlformats.org/officeDocument/2006/relationships/worksheet" Target="/xl/worksheets/sheet10.xml" Id="R9f4f30dcf4374001" /><Relationship Type="http://schemas.openxmlformats.org/officeDocument/2006/relationships/worksheet" Target="/xl/worksheets/sheet11.xml" Id="Re8c571e36c234e49" /><Relationship Type="http://schemas.openxmlformats.org/officeDocument/2006/relationships/worksheet" Target="/xl/worksheets/sheet12.xml" Id="Re8a4a5928e594bb3" /><Relationship Type="http://schemas.openxmlformats.org/officeDocument/2006/relationships/worksheet" Target="/xl/worksheets/sheet13.xml" Id="Rf02f3be3b4814691" /><Relationship Type="http://schemas.openxmlformats.org/officeDocument/2006/relationships/worksheet" Target="/xl/worksheets/sheet14.xml" Id="R2e56e9c9f94c487f" /><Relationship Type="http://schemas.openxmlformats.org/officeDocument/2006/relationships/worksheet" Target="/xl/worksheets/sheet15.xml" Id="Reb7a7b641a444ccb" /><Relationship Type="http://schemas.openxmlformats.org/officeDocument/2006/relationships/worksheet" Target="/xl/worksheets/sheet16.xml" Id="Rccd7b98097884dd2" /><Relationship Type="http://schemas.openxmlformats.org/officeDocument/2006/relationships/worksheet" Target="/xl/worksheets/sheet17.xml" Id="R9e843fc68f4140f7" /><Relationship Type="http://schemas.openxmlformats.org/officeDocument/2006/relationships/worksheet" Target="/xl/worksheets/sheet18.xml" Id="R0bb0040d57c74d99" /><Relationship Type="http://schemas.openxmlformats.org/officeDocument/2006/relationships/worksheet" Target="/xl/worksheets/sheet19.xml" Id="Rcf3c5ff063c148aa" /><Relationship Type="http://schemas.openxmlformats.org/officeDocument/2006/relationships/worksheet" Target="/xl/worksheets/sheet20.xml" Id="R6d6fa55485c743c0" /><Relationship Type="http://schemas.openxmlformats.org/officeDocument/2006/relationships/worksheet" Target="/xl/worksheets/sheet21.xml" Id="R3fbfe65a7e0a418c" /><Relationship Type="http://schemas.openxmlformats.org/officeDocument/2006/relationships/worksheet" Target="/xl/worksheets/sheet22.xml" Id="Re569abffb028405b" /><Relationship Type="http://schemas.openxmlformats.org/officeDocument/2006/relationships/worksheet" Target="/xl/worksheets/sheet23.xml" Id="R51662d1daea64ff7" /><Relationship Type="http://schemas.openxmlformats.org/officeDocument/2006/relationships/worksheet" Target="/xl/worksheets/sheet24.xml" Id="R87b356d9599640b1" /><Relationship Type="http://schemas.openxmlformats.org/officeDocument/2006/relationships/worksheet" Target="/xl/worksheets/sheet25.xml" Id="R34b2c35d0b32417e" /><Relationship Type="http://schemas.openxmlformats.org/officeDocument/2006/relationships/worksheet" Target="/xl/worksheets/sheet26.xml" Id="R6ef80b8ba8ff4aee" /><Relationship Type="http://schemas.openxmlformats.org/officeDocument/2006/relationships/worksheet" Target="/xl/worksheets/sheet27.xml" Id="Rc638a656e8d547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88" customHeight="1">
      <x:c r="A1" s="21" t="str">
        <x:v>GLOBINSKA RAZISKAVA
RAČUNOVODSKI SERVISI</x:v>
      </x:c>
    </x:row>
    <x:row r="5" ht="28" customHeight="1">
      <x:c r="A5" s="22" t="str">
        <x:v>Datalab / PANTHEON Accounting | Slovenija | presek 7. 8. 2026</x:v>
      </x:c>
    </x:row>
    <x:row r="7">
      <x:c r="A7" s="9" t="str">
        <x:v>Ključni podatek</x:v>
      </x:c>
      <x:c r="B7" s="9" t="str">
        <x:v>Vrednost</x:v>
      </x:c>
      <x:c r="D7" s="30" t="str">
        <x:v>Osrednja teza
PANTHEON Accounting naj se trži kot operativni sistem servisa: standardizira vhod dokumentov, avtomatizira rutino, upravlja izjeme in daje dokaz o kapaciteti, rokih ter kakovosti.
Modri vnosi v modelu so uporabniške predpostavke. Zelene formule so povezave med listi. Rdeče je rezervirano za zunanje povezave.</x:v>
      </x:c>
    </x:row>
    <x:row r="8">
      <x:c r="A8" s="24" t="str">
        <x:v>Aktivni subjekti ožjega trga</x:v>
      </x:c>
      <x:c r="B8" s="24" t="n">
        <x:v>4397</x:v>
      </x:c>
    </x:row>
    <x:row r="9">
      <x:c r="A9" s="24" t="str">
        <x:v>Subjekti z izkazi 2025</x:v>
      </x:c>
      <x:c r="B9" s="24" t="n">
        <x:v>2705</x:v>
      </x:c>
    </x:row>
    <x:row r="10">
      <x:c r="A10" s="24" t="str">
        <x:v>FTE 2025</x:v>
      </x:c>
      <x:c r="B10" s="25" t="n">
        <x:v>4077.5</x:v>
      </x:c>
    </x:row>
    <x:row r="11">
      <x:c r="A11" s="24" t="str">
        <x:v>Prihodki 2025</x:v>
      </x:c>
      <x:c r="B11" s="26" t="n">
        <x:v>379505640</x:v>
      </x:c>
    </x:row>
    <x:row r="12">
      <x:c r="A12" s="24" t="str">
        <x:v>EBITDA 2025</x:v>
      </x:c>
      <x:c r="B12" s="26" t="n">
        <x:v>61868168</x:v>
      </x:c>
    </x:row>
    <x:row r="16" ht="30" customHeight="1">
      <x:c r="A16" s="33" t="str">
        <x:v>Navigacija: Predpostavke → ROI_Model → Kontrole; raziskovalne priloge sledijo po listih.</x:v>
      </x:c>
    </x:row>
  </x:sheetData>
  <x:mergeCells>
    <x:mergeCell ref="A1:H3"/>
    <x:mergeCell ref="A5:H5"/>
    <x:mergeCell ref="D7:H13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2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" t="str">
        <x:v>Predpostavke scenarijskega ROI-modela</x:v>
      </x:c>
    </x:row>
    <x:row r="2" ht="34" customHeight="1">
      <x:c r="A2" s="35" t="str">
        <x:v>Modre številke so urejevalni vhodi. Vse vrednosti so ilustrativne in jih je treba nadomestiti z baseline podatki servisa ter pisno ponudbo.</x:v>
      </x:c>
    </x:row>
    <x:row r="4">
      <x:c r="A4" s="11" t="str">
        <x:v>ID</x:v>
      </x:c>
      <x:c r="B4" s="11" t="str">
        <x:v>Predpostavka</x:v>
      </x:c>
      <x:c r="C4" s="11" t="str">
        <x:v>Enota</x:v>
      </x:c>
      <x:c r="D4" s="11" t="str">
        <x:v>Konzervativno</x:v>
      </x:c>
      <x:c r="E4" s="11" t="str">
        <x:v>Realistično</x:v>
      </x:c>
      <x:c r="F4" s="11" t="str">
        <x:v>Potencial</x:v>
      </x:c>
    </x:row>
    <x:row r="5">
      <x:c r="A5" s="37" t="str">
        <x:v>A01</x:v>
      </x:c>
      <x:c r="B5" s="37" t="str">
        <x:v>Mesečni dokumenti</x:v>
      </x:c>
      <x:c r="C5" s="37" t="str">
        <x:v>#</x:v>
      </x:c>
      <x:c r="D5" s="38" t="n">
        <x:v>3000</x:v>
      </x:c>
      <x:c r="E5" s="38" t="n">
        <x:v>5000</x:v>
      </x:c>
      <x:c r="F5" s="38" t="n">
        <x:v>8000</x:v>
      </x:c>
    </x:row>
    <x:row r="6">
      <x:c r="A6" s="37" t="str">
        <x:v>A02</x:v>
      </x:c>
      <x:c r="B6" s="37" t="str">
        <x:v>Ročni delež pred uvedbo</x:v>
      </x:c>
      <x:c r="C6" s="37" t="str">
        <x:v>%</x:v>
      </x:c>
      <x:c r="D6" s="39" t="n">
        <x:v>0.75</x:v>
      </x:c>
      <x:c r="E6" s="39" t="n">
        <x:v>0.65</x:v>
      </x:c>
      <x:c r="F6" s="39" t="n">
        <x:v>0.6</x:v>
      </x:c>
    </x:row>
    <x:row r="7">
      <x:c r="A7" s="37" t="str">
        <x:v>A03</x:v>
      </x:c>
      <x:c r="B7" s="37" t="str">
        <x:v>Minute ročnega dela/dokument</x:v>
      </x:c>
      <x:c r="C7" s="37" t="str">
        <x:v>min</x:v>
      </x:c>
      <x:c r="D7" s="38" t="n">
        <x:v>5.5</x:v>
      </x:c>
      <x:c r="E7" s="38" t="n">
        <x:v>4.5</x:v>
      </x:c>
      <x:c r="F7" s="38" t="n">
        <x:v>4</x:v>
      </x:c>
    </x:row>
    <x:row r="8">
      <x:c r="A8" s="37" t="str">
        <x:v>A04</x:v>
      </x:c>
      <x:c r="B8" s="37" t="str">
        <x:v>Polni strošek produktivne ure</x:v>
      </x:c>
      <x:c r="C8" s="37" t="str">
        <x:v>EUR/h</x:v>
      </x:c>
      <x:c r="D8" s="40" t="n">
        <x:v>24</x:v>
      </x:c>
      <x:c r="E8" s="40" t="n">
        <x:v>28</x:v>
      </x:c>
      <x:c r="F8" s="40" t="n">
        <x:v>32</x:v>
      </x:c>
    </x:row>
    <x:row r="9">
      <x:c r="A9" s="37" t="str">
        <x:v>A05</x:v>
      </x:c>
      <x:c r="B9" s="37" t="str">
        <x:v>Rešljiv delež vzroka</x:v>
      </x:c>
      <x:c r="C9" s="37" t="str">
        <x:v>%</x:v>
      </x:c>
      <x:c r="D9" s="39" t="n">
        <x:v>0.6</x:v>
      </x:c>
      <x:c r="E9" s="39" t="n">
        <x:v>0.7</x:v>
      </x:c>
      <x:c r="F9" s="39" t="n">
        <x:v>0.8</x:v>
      </x:c>
    </x:row>
    <x:row r="10">
      <x:c r="A10" s="37" t="str">
        <x:v>A06</x:v>
      </x:c>
      <x:c r="B10" s="37" t="str">
        <x:v>Funkcionalni fit</x:v>
      </x:c>
      <x:c r="C10" s="37" t="str">
        <x:v>%</x:v>
      </x:c>
      <x:c r="D10" s="39" t="n">
        <x:v>0.6</x:v>
      </x:c>
      <x:c r="E10" s="39" t="n">
        <x:v>0.8</x:v>
      </x:c>
      <x:c r="F10" s="39" t="n">
        <x:v>0.9</x:v>
      </x:c>
    </x:row>
    <x:row r="11">
      <x:c r="A11" s="37" t="str">
        <x:v>A07</x:v>
      </x:c>
      <x:c r="B11" s="37" t="str">
        <x:v>Sprejetje v servisu</x:v>
      </x:c>
      <x:c r="C11" s="37" t="str">
        <x:v>%</x:v>
      </x:c>
      <x:c r="D11" s="39" t="n">
        <x:v>0.6</x:v>
      </x:c>
      <x:c r="E11" s="39" t="n">
        <x:v>0.8</x:v>
      </x:c>
      <x:c r="F11" s="39" t="n">
        <x:v>0.9</x:v>
      </x:c>
    </x:row>
    <x:row r="12">
      <x:c r="A12" s="37" t="str">
        <x:v>A08</x:v>
      </x:c>
      <x:c r="B12" s="37" t="str">
        <x:v>Sprejetje pri strankah</x:v>
      </x:c>
      <x:c r="C12" s="37" t="str">
        <x:v>%</x:v>
      </x:c>
      <x:c r="D12" s="39" t="n">
        <x:v>0.45</x:v>
      </x:c>
      <x:c r="E12" s="39" t="n">
        <x:v>0.65</x:v>
      </x:c>
      <x:c r="F12" s="39" t="n">
        <x:v>0.8</x:v>
      </x:c>
    </x:row>
    <x:row r="13">
      <x:c r="A13" s="37" t="str">
        <x:v>A09</x:v>
      </x:c>
      <x:c r="B13" s="37" t="str">
        <x:v>Monetizacijski faktor kapacitete</x:v>
      </x:c>
      <x:c r="C13" s="37" t="str">
        <x:v>%</x:v>
      </x:c>
      <x:c r="D13" s="39" t="n">
        <x:v>0.2</x:v>
      </x:c>
      <x:c r="E13" s="39" t="n">
        <x:v>0.35</x:v>
      </x:c>
      <x:c r="F13" s="39" t="n">
        <x:v>0.55</x:v>
      </x:c>
    </x:row>
    <x:row r="14">
      <x:c r="A14" s="37" t="str">
        <x:v>A10</x:v>
      </x:c>
      <x:c r="B14" s="37" t="str">
        <x:v>Aktivni meseci leto 1</x:v>
      </x:c>
      <x:c r="C14" s="37" t="str">
        <x:v>meseci</x:v>
      </x:c>
      <x:c r="D14" s="38" t="n">
        <x:v>6</x:v>
      </x:c>
      <x:c r="E14" s="38" t="n">
        <x:v>9</x:v>
      </x:c>
      <x:c r="F14" s="38" t="n">
        <x:v>10</x:v>
      </x:c>
    </x:row>
    <x:row r="15">
      <x:c r="A15" s="37" t="str">
        <x:v>A11</x:v>
      </x:c>
      <x:c r="B15" s="37" t="str">
        <x:v>Letna licenca/naročnina</x:v>
      </x:c>
      <x:c r="C15" s="37" t="str">
        <x:v>EUR</x:v>
      </x:c>
      <x:c r="D15" s="41" t="n">
        <x:v>7000</x:v>
      </x:c>
      <x:c r="E15" s="41" t="n">
        <x:v>9000</x:v>
      </x:c>
      <x:c r="F15" s="41" t="n">
        <x:v>12000</x:v>
      </x:c>
    </x:row>
    <x:row r="16">
      <x:c r="A16" s="37" t="str">
        <x:v>A12</x:v>
      </x:c>
      <x:c r="B16" s="37" t="str">
        <x:v>Implementacija in migracija</x:v>
      </x:c>
      <x:c r="C16" s="37" t="str">
        <x:v>EUR</x:v>
      </x:c>
      <x:c r="D16" s="41" t="n">
        <x:v>14000</x:v>
      </x:c>
      <x:c r="E16" s="41" t="n">
        <x:v>18000</x:v>
      </x:c>
      <x:c r="F16" s="41" t="n">
        <x:v>26000</x:v>
      </x:c>
    </x:row>
    <x:row r="17">
      <x:c r="A17" s="37" t="str">
        <x:v>A13</x:v>
      </x:c>
      <x:c r="B17" s="37" t="str">
        <x:v>Usposabljanje + notranji čas</x:v>
      </x:c>
      <x:c r="C17" s="37" t="str">
        <x:v>EUR</x:v>
      </x:c>
      <x:c r="D17" s="41" t="n">
        <x:v>6000</x:v>
      </x:c>
      <x:c r="E17" s="41" t="n">
        <x:v>8000</x:v>
      </x:c>
      <x:c r="F17" s="41" t="n">
        <x:v>12000</x:v>
      </x:c>
    </x:row>
    <x:row r="18">
      <x:c r="A18" s="37" t="str">
        <x:v>A14</x:v>
      </x:c>
      <x:c r="B18" s="37" t="str">
        <x:v>Letna podpora/integracije</x:v>
      </x:c>
      <x:c r="C18" s="37" t="str">
        <x:v>EUR</x:v>
      </x:c>
      <x:c r="D18" s="41" t="n">
        <x:v>3500</x:v>
      </x:c>
      <x:c r="E18" s="41" t="n">
        <x:v>5000</x:v>
      </x:c>
      <x:c r="F18" s="41" t="n">
        <x:v>7500</x:v>
      </x:c>
    </x:row>
    <x:row r="19">
      <x:c r="A19" s="37" t="str">
        <x:v>A15</x:v>
      </x:c>
      <x:c r="B19" s="37" t="str">
        <x:v>Nove stranke zaradi kapacitete</x:v>
      </x:c>
      <x:c r="C19" s="37" t="str">
        <x:v>#</x:v>
      </x:c>
      <x:c r="D19" s="38" t="n">
        <x:v>3</x:v>
      </x:c>
      <x:c r="E19" s="38" t="n">
        <x:v>12</x:v>
      </x:c>
      <x:c r="F19" s="38" t="n">
        <x:v>30</x:v>
      </x:c>
    </x:row>
    <x:row r="20">
      <x:c r="A20" s="37" t="str">
        <x:v>A16</x:v>
      </x:c>
      <x:c r="B20" s="37" t="str">
        <x:v>Mesečni prispevek/nova stranka</x:v>
      </x:c>
      <x:c r="C20" s="37" t="str">
        <x:v>EUR</x:v>
      </x:c>
      <x:c r="D20" s="41" t="n">
        <x:v>80</x:v>
      </x:c>
      <x:c r="E20" s="41" t="n">
        <x:v>120</x:v>
      </x:c>
      <x:c r="F20" s="41" t="n">
        <x:v>160</x:v>
      </x:c>
    </x:row>
    <x:row r="21">
      <x:c r="A21" s="37" t="str">
        <x:v>A17</x:v>
      </x:c>
      <x:c r="B21" s="37" t="str">
        <x:v>Osnovna letna pričakovana izguba tveganj</x:v>
      </x:c>
      <x:c r="C21" s="37" t="str">
        <x:v>EUR</x:v>
      </x:c>
      <x:c r="D21" s="41" t="n">
        <x:v>6000</x:v>
      </x:c>
      <x:c r="E21" s="41" t="n">
        <x:v>10000</x:v>
      </x:c>
      <x:c r="F21" s="41" t="n">
        <x:v>16000</x:v>
      </x:c>
    </x:row>
    <x:row r="22">
      <x:c r="A22" s="37" t="str">
        <x:v>A18</x:v>
      </x:c>
      <x:c r="B22" s="37" t="str">
        <x:v>Znižanje tveganj</x:v>
      </x:c>
      <x:c r="C22" s="37" t="str">
        <x:v>%</x:v>
      </x:c>
      <x:c r="D22" s="39" t="n">
        <x:v>0.1</x:v>
      </x:c>
      <x:c r="E22" s="39" t="n">
        <x:v>0.25</x:v>
      </x:c>
      <x:c r="F22" s="39" t="n">
        <x:v>0.4</x:v>
      </x:c>
    </x:row>
    <x:row r="23">
      <x:c r="A23" s="37" t="str">
        <x:v>A19</x:v>
      </x:c>
      <x:c r="B23" s="37" t="str">
        <x:v>Letni diskont</x:v>
      </x:c>
      <x:c r="C23" s="37" t="str">
        <x:v>%</x:v>
      </x:c>
      <x:c r="D23" s="39" t="n">
        <x:v>0.08</x:v>
      </x:c>
      <x:c r="E23" s="39" t="n">
        <x:v>0.08</x:v>
      </x:c>
      <x:c r="F23" s="39" t="n">
        <x:v>0.08</x:v>
      </x:c>
    </x:row>
    <x:row r="24">
      <x:c r="A24" s="37" t="str">
        <x:v>A20</x:v>
      </x:c>
      <x:c r="B24" s="37" t="str">
        <x:v>Rast stabilne koristi leto 3</x:v>
      </x:c>
      <x:c r="C24" s="37" t="str">
        <x:v>%</x:v>
      </x:c>
      <x:c r="D24" s="39" t="n">
        <x:v>0.05</x:v>
      </x:c>
      <x:c r="E24" s="39" t="n">
        <x:v>0.08</x:v>
      </x:c>
      <x:c r="F24" s="39" t="n">
        <x:v>0.12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0" customHeight="1">
      <x:c r="A1" s="2" t="str">
        <x:v>Scenarijski ROI-model</x:v>
      </x:c>
    </x:row>
    <x:row r="2" ht="38" customHeight="1">
      <x:c r="A2" s="35" t="str">
        <x:v>Model prikazuje čas, ekonomsko vrednost, denarno realizacijo, stroške, ROI, payback in 3-letni NPV. Vhode spreminjajte na listu Predpostavke.</x:v>
      </x:c>
    </x:row>
    <x:row r="4">
      <x:c r="A4" s="10" t="str">
        <x:v>Metrika</x:v>
      </x:c>
      <x:c r="B4" s="10" t="str">
        <x:v>Konzervativno</x:v>
      </x:c>
      <x:c r="C4" s="10" t="str">
        <x:v>Realistično</x:v>
      </x:c>
      <x:c r="D4" s="10" t="str">
        <x:v>Potencial</x:v>
      </x:c>
    </x:row>
    <x:row r="5">
      <x:c r="A5" s="36" t="str">
        <x:v>Bruto ročne ure/leto</x:v>
      </x:c>
      <x:c r="B5" s="43" t="n">
        <x:f>'Predpostavke'!D5*12*'Predpostavke'!D6*'Predpostavke'!D7/60</x:f>
        <x:v>2475</x:v>
      </x:c>
      <x:c r="C5" s="43" t="n">
        <x:f>'Predpostavke'!E5*12*'Predpostavke'!E6*'Predpostavke'!E7/60</x:f>
        <x:v>2925</x:v>
      </x:c>
      <x:c r="D5" s="43" t="n">
        <x:f>'Predpostavke'!F5*12*'Predpostavke'!F6*'Predpostavke'!F7/60</x:f>
        <x:v>3840</x:v>
      </x:c>
    </x:row>
    <x:row r="6">
      <x:c r="A6" s="36" t="str">
        <x:v>Naslovljive ure/leto</x:v>
      </x:c>
      <x:c r="B6" s="43" t="n">
        <x:f>B5*'Predpostavke'!D9*'Predpostavke'!D10*'Predpostavke'!D11*'Predpostavke'!D12</x:f>
        <x:v>240.57000000000002</x:v>
      </x:c>
      <x:c r="C6" s="43" t="n">
        <x:f>C5*'Predpostavke'!E9*'Predpostavke'!E10*'Predpostavke'!E11*'Predpostavke'!E12</x:f>
        <x:v>851.7600000000001</x:v>
      </x:c>
      <x:c r="D6" s="43" t="n">
        <x:f>D5*'Predpostavke'!F9*'Predpostavke'!F10*'Predpostavke'!F11*'Predpostavke'!F12</x:f>
        <x:v>1990.6560000000002</x:v>
      </x:c>
    </x:row>
    <x:row r="7">
      <x:c r="A7" s="36" t="str">
        <x:v>Ekonomska vrednost kapacitete</x:v>
      </x:c>
      <x:c r="B7" s="44" t="n">
        <x:f>B6*'Predpostavke'!D8</x:f>
        <x:v>5773.68</x:v>
      </x:c>
      <x:c r="C7" s="44" t="n">
        <x:f>C6*'Predpostavke'!E8</x:f>
        <x:v>23849.280000000002</x:v>
      </x:c>
      <x:c r="D7" s="44" t="n">
        <x:f>D6*'Predpostavke'!F8</x:f>
        <x:v>63700.992000000006</x:v>
      </x:c>
    </x:row>
    <x:row r="8">
      <x:c r="A8" s="36" t="str">
        <x:v>Denarno realizirana kapaciteta</x:v>
      </x:c>
      <x:c r="B8" s="44" t="n">
        <x:f>B7*'Predpostavke'!D13</x:f>
        <x:v>1154.736</x:v>
      </x:c>
      <x:c r="C8" s="44" t="n">
        <x:f>C7*'Predpostavke'!E13</x:f>
        <x:v>8347.248</x:v>
      </x:c>
      <x:c r="D8" s="44" t="n">
        <x:f>D7*'Predpostavke'!F13</x:f>
        <x:v>35035.545600000005</x:v>
      </x:c>
    </x:row>
    <x:row r="9">
      <x:c r="A9" s="36" t="str">
        <x:v>Prispevek novih strank/leto</x:v>
      </x:c>
      <x:c r="B9" s="44" t="n">
        <x:f>'Predpostavke'!D19*'Predpostavke'!D20*12*'Predpostavke'!D11</x:f>
        <x:v>1728</x:v>
      </x:c>
      <x:c r="C9" s="44" t="n">
        <x:f>'Predpostavke'!E19*'Predpostavke'!E20*12*'Predpostavke'!E11</x:f>
        <x:v>13824</x:v>
      </x:c>
      <x:c r="D9" s="44" t="n">
        <x:f>'Predpostavke'!F19*'Predpostavke'!F20*12*'Predpostavke'!F11</x:f>
        <x:v>51840</x:v>
      </x:c>
    </x:row>
    <x:row r="10">
      <x:c r="A10" s="36" t="str">
        <x:v>Korist zmanjšanja tveganj/leto</x:v>
      </x:c>
      <x:c r="B10" s="44" t="n">
        <x:f>'Predpostavke'!D21*'Predpostavke'!D22*'Predpostavke'!D11</x:f>
        <x:v>360</x:v>
      </x:c>
      <x:c r="C10" s="44" t="n">
        <x:f>'Predpostavke'!E21*'Predpostavke'!E22*'Predpostavke'!E11</x:f>
        <x:v>2000</x:v>
      </x:c>
      <x:c r="D10" s="44" t="n">
        <x:f>'Predpostavke'!F21*'Predpostavke'!F22*'Predpostavke'!F11</x:f>
        <x:v>5760</x:v>
      </x:c>
    </x:row>
    <x:row r="11">
      <x:c r="A11" s="36" t="str">
        <x:v>Stabilna letna korist</x:v>
      </x:c>
      <x:c r="B11" s="44" t="n">
        <x:f>SUM(B8:B10)</x:f>
        <x:v>3242.736</x:v>
      </x:c>
      <x:c r="C11" s="44" t="n">
        <x:f>SUM(C8:C10)</x:f>
        <x:v>24171.248</x:v>
      </x:c>
      <x:c r="D11" s="44" t="n">
        <x:f>SUM(D8:D10)</x:f>
        <x:v>92635.54560000001</x:v>
      </x:c>
    </x:row>
    <x:row r="12">
      <x:c r="A12" s="36" t="str">
        <x:v>Korist leto 1 po ramp-up</x:v>
      </x:c>
      <x:c r="B12" s="44" t="n">
        <x:f>B11*'Predpostavke'!D14/12</x:f>
        <x:v>1621.3679999999997</x:v>
      </x:c>
      <x:c r="C12" s="44" t="n">
        <x:f>C11*'Predpostavke'!E14/12</x:f>
        <x:v>18128.435999999998</x:v>
      </x:c>
      <x:c r="D12" s="44" t="n">
        <x:f>D11*'Predpostavke'!F14/12</x:f>
        <x:v>77196.28800000002</x:v>
      </x:c>
    </x:row>
    <x:row r="13">
      <x:c r="A13" s="36" t="str">
        <x:v>Strošek leto 1</x:v>
      </x:c>
      <x:c r="B13" s="44" t="n">
        <x:f>SUM('Predpostavke'!D15:'Predpostavke'!D18)</x:f>
        <x:v>30500</x:v>
      </x:c>
      <x:c r="C13" s="44" t="n">
        <x:f>SUM('Predpostavke'!E15:'Predpostavke'!E18)</x:f>
        <x:v>40000</x:v>
      </x:c>
      <x:c r="D13" s="44" t="n">
        <x:f>SUM('Predpostavke'!F15:'Predpostavke'!F18)</x:f>
        <x:v>57500</x:v>
      </x:c>
    </x:row>
    <x:row r="14">
      <x:c r="A14" s="36" t="str">
        <x:v>Neto denarni tok leto 1</x:v>
      </x:c>
      <x:c r="B14" s="44" t="n">
        <x:f>B12-B13</x:f>
        <x:v>-28878.632</x:v>
      </x:c>
      <x:c r="C14" s="44" t="n">
        <x:f>C12-C13</x:f>
        <x:v>-21871.564000000002</x:v>
      </x:c>
      <x:c r="D14" s="44" t="n">
        <x:f>D12-D13</x:f>
        <x:v>19696.288000000015</x:v>
      </x:c>
    </x:row>
    <x:row r="15">
      <x:c r="A15" s="47" t="str">
        <x:v>ROI leto 1</x:v>
      </x:c>
      <x:c r="B15" s="48" t="n">
        <x:f>IF(B13=0,0,B14/B13)</x:f>
        <x:v>-0.946840393442623</x:v>
      </x:c>
      <x:c r="C15" s="48" t="n">
        <x:f>IF(C13=0,0,C14/C13)</x:f>
        <x:v>-0.5467891</x:v>
      </x:c>
      <x:c r="D15" s="48" t="n">
        <x:f>IF(D13=0,0,D14/D13)</x:f>
        <x:v>0.342544139130435</x:v>
      </x:c>
    </x:row>
    <x:row r="16">
      <x:c r="A16" s="36" t="str">
        <x:v>Stabilna mesečna neto korist</x:v>
      </x:c>
      <x:c r="B16" s="44" t="n">
        <x:f>(B11-'Predpostavke'!D15-'Predpostavke'!D18)/12</x:f>
        <x:v>-604.772</x:v>
      </x:c>
      <x:c r="C16" s="44" t="n">
        <x:f>(C11-'Predpostavke'!E15-'Predpostavke'!E18)/12</x:f>
        <x:v>847.6039999999999</x:v>
      </x:c>
      <x:c r="D16" s="44" t="n">
        <x:f>(D11-'Predpostavke'!F15-'Predpostavke'!F18)/12</x:f>
        <x:v>6094.628800000001</x:v>
      </x:c>
    </x:row>
    <x:row r="17">
      <x:c r="A17" s="36" t="str">
        <x:v>Payback (mesecev)</x:v>
      </x:c>
      <x:c r="B17" s="46" t="str">
        <x:f>IF(B16&lt;=0,"n.m.",B13/B16)</x:f>
        <x:v>n.m.</x:v>
      </x:c>
      <x:c r="C17" s="46" t="n">
        <x:f>IF(C16&lt;=0,"n.m.",C13/C16)</x:f>
        <x:v>47.19184902383661</x:v>
      </x:c>
      <x:c r="D17" s="46" t="n">
        <x:f>IF(D16&lt;=0,"n.m.",D13/D16)</x:f>
        <x:v>9.434536849889856</x:v>
      </x:c>
    </x:row>
    <x:row r="18">
      <x:c r="A18" s="36" t="str">
        <x:v>Denarni tok leto 2</x:v>
      </x:c>
      <x:c r="B18" s="44" t="n">
        <x:f>B11-'Predpostavke'!D15-'Predpostavke'!D18</x:f>
        <x:v>-7257.264</x:v>
      </x:c>
      <x:c r="C18" s="44" t="n">
        <x:f>C11-'Predpostavke'!E15-'Predpostavke'!E18</x:f>
        <x:v>10171.248</x:v>
      </x:c>
      <x:c r="D18" s="44" t="n">
        <x:f>D11-'Predpostavke'!F15-'Predpostavke'!F18</x:f>
        <x:v>73135.54560000001</x:v>
      </x:c>
    </x:row>
    <x:row r="19">
      <x:c r="A19" s="36" t="str">
        <x:v>Denarni tok leto 3</x:v>
      </x:c>
      <x:c r="B19" s="44" t="n">
        <x:f>B18*(1+'Predpostavke'!D24)</x:f>
        <x:v>-7620.127200000001</x:v>
      </x:c>
      <x:c r="C19" s="44" t="n">
        <x:f>C18*(1+'Predpostavke'!E24)</x:f>
        <x:v>10984.94784</x:v>
      </x:c>
      <x:c r="D19" s="44" t="n">
        <x:f>D18*(1+'Predpostavke'!F24)</x:f>
        <x:v>81911.81107200003</x:v>
      </x:c>
    </x:row>
    <x:row r="20">
      <x:c r="A20" s="49" t="str">
        <x:v>3-letni NPV</x:v>
      </x:c>
      <x:c r="B20" s="50" t="n">
        <x:f>B14/(1+'Predpostavke'!D23)+B18/(1+'Predpostavke'!D23)^2+B19/(1+'Predpostavke'!D23)^3</x:f>
        <x:v>-39010.510882487426</x:v>
      </x:c>
      <x:c r="C20" s="50" t="n">
        <x:f>C14/(1+'Predpostavke'!E23)+C18/(1+'Predpostavke'!E23)^2+C19/(1+'Predpostavke'!E23)^3</x:f>
        <x:v>-2811.0366255144054</x:v>
      </x:c>
      <x:c r="D20" s="50" t="n">
        <x:f>D14/(1+'Predpostavke'!F23)+D18/(1+'Predpostavke'!F23)^2+D19/(1+'Predpostavke'!F23)^3</x:f>
        <x:v>145963.48263984153</x:v>
      </x:c>
    </x:row>
    <x:row r="21">
      <x:c r="A21" s="49" t="str">
        <x:v>3-letni ROI</x:v>
      </x:c>
      <x:c r="B21" s="51" t="n">
        <x:f>(B12+B18+B19-B13-'Predpostavke'!D15*2-'Predpostavke'!D18*2)/(B13+'Predpostavke'!D15*2+'Predpostavke'!D18*2)</x:f>
        <x:v>-1.257398508737864</x:v>
      </x:c>
      <x:c r="C21" s="51" t="n">
        <x:f>(C12+C18+C19-C13-'Predpostavke'!E15*2-'Predpostavke'!E18*2)/(C13+'Predpostavke'!E15*2+'Predpostavke'!E18*2)</x:f>
        <x:v>-0.4222848258823529</x:v>
      </x:c>
      <x:c r="D21" s="51" t="n">
        <x:f>(D12+D18+D19-D13-'Predpostavke'!F15*2-'Predpostavke'!F18*2)/(D13+'Predpostavke'!F15*2+'Predpostavke'!F18*2)</x:f>
        <x:v>1.4066698929740935</x:v>
      </x:c>
    </x:row>
    <x:row r="22">
      <x:c r="A22" s="36" t="str">
        <x:v>Break-even nove stranke</x:v>
      </x:c>
      <x:c r="B22" s="46" t="n">
        <x:f>IF('Predpostavke'!D20&lt;=0,0,MAX(0,(B13-B8-B10)/('Predpostavke'!D20*12*'Predpostavke'!D11)))</x:f>
        <x:v>50.321638888888884</x:v>
      </x:c>
      <x:c r="C22" s="46" t="n">
        <x:f>IF('Predpostavke'!E20&lt;=0,0,MAX(0,(C13-C8-C10)/('Predpostavke'!E20*12*'Predpostavke'!E11)))</x:f>
        <x:v>25.740236111111113</x:v>
      </x:c>
      <x:c r="D22" s="46" t="n">
        <x:f>IF('Predpostavke'!F20&lt;=0,0,MAX(0,(D13-D8-D10)/('Predpostavke'!F20*12*'Predpostavke'!F11)))</x:f>
        <x:v>9.666929629629626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40" hidden="0" customWidth="1"/>
  </x:cols>
  <x:sheetData>
    <x:row r="1" ht="30" customHeight="1">
      <x:c r="A1" s="2" t="str">
        <x:v>Kontrole kakovosti modela</x:v>
      </x:c>
    </x:row>
    <x:row r="3">
      <x:c r="A3" s="9" t="str">
        <x:v>Kontrola</x:v>
      </x:c>
      <x:c r="B3" s="9" t="str">
        <x:v>Formula</x:v>
      </x:c>
      <x:c r="C3" s="9" t="str">
        <x:v>Status</x:v>
      </x:c>
      <x:c r="D3" s="9" t="str">
        <x:v>Pomen</x:v>
      </x:c>
    </x:row>
    <x:row r="4">
      <x:c r="A4" s="36" t="str">
        <x:v>Uteži ICP = 100%</x:v>
      </x:c>
      <x:c r="B4" s="42" t="n">
        <x:f>SUM('ICP_scoring'!B5:B12)</x:f>
        <x:v>1</x:v>
      </x:c>
      <x:c r="C4" s="42" t="str">
        <x:f>IF(ABS(B4-1)&lt;0.0001,"OK","NAPAKA")</x:f>
        <x:v>OK</x:v>
      </x:c>
      <x:c r="D4" s="36" t="str">
        <x:v>vsota uteži</x:v>
      </x:c>
    </x:row>
    <x:row r="5">
      <x:c r="A5" s="36" t="str">
        <x:v>ROI brez deljenja z nič</x:v>
      </x:c>
      <x:c r="B5" s="42" t="n">
        <x:f>MIN('Predpostavke'!D15:F18)</x:f>
        <x:v>3500</x:v>
      </x:c>
      <x:c r="C5" s="42" t="str">
        <x:f>IF(B5&gt;=0,"OK","NAPAKA")</x:f>
        <x:v>OK</x:v>
      </x:c>
      <x:c r="D5" s="36" t="str">
        <x:v>stroški niso negativni</x:v>
      </x:c>
    </x:row>
    <x:row r="6">
      <x:c r="A6" s="36" t="str">
        <x:v>Sprejetje &lt;=100%</x:v>
      </x:c>
      <x:c r="B6" s="42" t="n">
        <x:f>MAX('Predpostavke'!D11:F12)</x:f>
        <x:v>0.9</x:v>
      </x:c>
      <x:c r="C6" s="42" t="str">
        <x:f>IF(B6&lt;=1,"OK","NAPAKA")</x:f>
        <x:v>OK</x:v>
      </x:c>
      <x:c r="D6" s="36" t="str">
        <x:v>vedenjski faktorji</x:v>
      </x:c>
    </x:row>
    <x:row r="7">
      <x:c r="A7" s="36" t="str">
        <x:v>Fit &lt;=100%</x:v>
      </x:c>
      <x:c r="B7" s="42" t="n">
        <x:f>MAX('Predpostavke'!D9:F10)</x:f>
        <x:v>0.9</x:v>
      </x:c>
      <x:c r="C7" s="42" t="str">
        <x:f>IF(B7&lt;=1,"OK","NAPAKA")</x:f>
        <x:v>OK</x:v>
      </x:c>
      <x:c r="D7" s="36" t="str">
        <x:v>rešljivost in fit</x:v>
      </x:c>
    </x:row>
    <x:row r="8">
      <x:c r="A8" s="36" t="str">
        <x:v>Aktivni meseci &lt;=12</x:v>
      </x:c>
      <x:c r="B8" s="42" t="n">
        <x:f>MAX('Predpostavke'!D14:F14)</x:f>
        <x:v>10</x:v>
      </x:c>
      <x:c r="C8" s="42" t="str">
        <x:f>IF(B8&lt;=12,"OK","NAPAKA")</x:f>
        <x:v>OK</x:v>
      </x:c>
      <x:c r="D8" s="36" t="str">
        <x:v>ramp-up</x:v>
      </x:c>
    </x:row>
    <x:row r="9">
      <x:c r="A9" s="36" t="str">
        <x:v>NPV formula izračunana</x:v>
      </x:c>
      <x:c r="B9" s="42" t="n">
        <x:f>COUNT('ROI_Model'!B20:D20)</x:f>
        <x:v>3</x:v>
      </x:c>
      <x:c r="C9" s="42" t="str">
        <x:f>IF(B9=3,"OK","NAPAKA")</x:f>
        <x:v>OK</x:v>
      </x:c>
      <x:c r="D9" s="36" t="str">
        <x:v>tri scenariji</x:v>
      </x:c>
    </x:row>
    <x:row r="10">
      <x:c r="A10" s="36" t="str">
        <x:v>Vsi viri imajo URL</x:v>
      </x:c>
      <x:c r="B10" s="42" t="n">
        <x:f>COUNTA('Register_virov'!G5:G34)</x:f>
        <x:v>30</x:v>
      </x:c>
      <x:c r="C10" s="42" t="str">
        <x:f>IF(B10=30,"OK","NAPAKA")</x:f>
        <x:v>OK</x:v>
      </x:c>
      <x:c r="D10" s="36" t="str">
        <x:v>sledljivost</x:v>
      </x:c>
    </x:row>
    <x:row r="11">
      <x:c r="A11" s="36" t="str">
        <x:v>Katalog ima 25 bolečin</x:v>
      </x:c>
      <x:c r="B11" s="42" t="n">
        <x:f>COUNTA('Katalog_bolecin'!A5:A29)</x:f>
        <x:v>25</x:v>
      </x:c>
      <x:c r="C11" s="42" t="str">
        <x:f>IF(B11=25,"OK","NAPAKA")</x:f>
        <x:v>OK</x:v>
      </x:c>
      <x:c r="D11" s="36" t="str">
        <x:v>popolnost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6" hidden="0" customWidth="1"/>
    <x:col min="4" max="4" width="14" hidden="0" customWidth="1"/>
    <x:col min="5" max="5" width="10" hidden="0" customWidth="1"/>
    <x:col min="6" max="6" width="24" hidden="0" customWidth="1"/>
    <x:col min="7" max="7" width="42" hidden="0" customWidth="1"/>
  </x:cols>
  <x:sheetData>
    <x:row r="1" ht="30" customHeight="1">
      <x:c r="A1" s="3" t="str">
        <x:v>Tržni benchmarki</x:v>
      </x:c>
    </x:row>
    <x:row r="2" ht="34" customHeight="1">
      <x:c r="A2" s="7" t="str">
        <x:v>Slovenski podatki so primarni; mednarodni benchmarki so jasno označeni.</x:v>
      </x:c>
    </x:row>
    <x:row r="4" ht="28" customHeight="1">
      <x:c r="A4" s="12" t="str">
        <x:v>Obseg</x:v>
      </x:c>
      <x:c r="B4" s="12" t="str">
        <x:v>Kazalnik</x:v>
      </x:c>
      <x:c r="C4" s="12" t="str">
        <x:v>Vrednost</x:v>
      </x:c>
      <x:c r="D4" s="12" t="str">
        <x:v>Obdobje</x:v>
      </x:c>
      <x:c r="E4" s="12" t="str">
        <x:v>Dokaz</x:v>
      </x:c>
      <x:c r="F4" s="12" t="str">
        <x:v>Vir</x:v>
      </x:c>
      <x:c r="G4" s="12" t="str">
        <x:v>Opomba</x:v>
      </x:c>
    </x:row>
    <x:row r="5">
      <x:c r="A5" s="16" t="str">
        <x:v>Ožji trg</x:v>
      </x:c>
      <x:c r="B5" s="16" t="str">
        <x:v>Aktivni registrirani subjekti</x:v>
      </x:c>
      <x:c r="C5" s="16" t="n">
        <x:v>4397</x:v>
      </x:c>
      <x:c r="D5" s="16" t="str">
        <x:v>2026-07-15</x:v>
      </x:c>
      <x:c r="E5" s="16" t="str">
        <x:v>A</x:v>
      </x:c>
      <x:c r="F5" s="16" t="str">
        <x:v>GZS ZRS / AJPES</x:v>
      </x:c>
      <x:c r="G5" s="16" t="str">
        <x:v>Izločene revizijske družbe in večji hibridi</x:v>
      </x:c>
    </x:row>
    <x:row r="6">
      <x:c r="A6" s="17" t="str">
        <x:v>Celotna SKD 69.200</x:v>
      </x:c>
      <x:c r="B6" s="17" t="str">
        <x:v>Aktivni registrirani subjekti</x:v>
      </x:c>
      <x:c r="C6" s="17" t="n">
        <x:v>4448</x:v>
      </x:c>
      <x:c r="D6" s="17" t="str">
        <x:v>2026-07-15</x:v>
      </x:c>
      <x:c r="E6" s="17" t="str">
        <x:v>A</x:v>
      </x:c>
      <x:c r="F6" s="17" t="str">
        <x:v>GZS ZRS / AJPES</x:v>
      </x:c>
      <x:c r="G6" s="17" t="str">
        <x:v>Vključuje revizijske in večje hibridne izvajalce</x:v>
      </x:c>
    </x:row>
    <x:row r="7">
      <x:c r="A7" s="16" t="str">
        <x:v>Ožji trg</x:v>
      </x:c>
      <x:c r="B7" s="16" t="str">
        <x:v>Subjekti z izkazi</x:v>
      </x:c>
      <x:c r="C7" s="16" t="n">
        <x:v>2705</x:v>
      </x:c>
      <x:c r="D7" s="16" t="str">
        <x:v>2025</x:v>
      </x:c>
      <x:c r="E7" s="16" t="str">
        <x:v>A</x:v>
      </x:c>
      <x:c r="F7" s="16" t="str">
        <x:v>GZS ZRS / AJPES</x:v>
      </x:c>
      <x:c r="G7" s="16" t="str">
        <x:v>Kupni trg ni enak registru</x:v>
      </x:c>
    </x:row>
    <x:row r="8">
      <x:c r="A8" s="17" t="str">
        <x:v>Ožji trg</x:v>
      </x:c>
      <x:c r="B8" s="17" t="str">
        <x:v>FTE</x:v>
      </x:c>
      <x:c r="C8" s="17" t="n">
        <x:v>4077.5</x:v>
      </x:c>
      <x:c r="D8" s="17" t="str">
        <x:v>2025</x:v>
      </x:c>
      <x:c r="E8" s="17" t="str">
        <x:v>A</x:v>
      </x:c>
      <x:c r="F8" s="17" t="str">
        <x:v>GZS ZRS / AJPES</x:v>
      </x:c>
      <x:c r="G8" s="17" t="str">
        <x:v>EPDČ</x:v>
      </x:c>
    </x:row>
    <x:row r="9">
      <x:c r="A9" s="16" t="str">
        <x:v>Ožji trg</x:v>
      </x:c>
      <x:c r="B9" s="16" t="str">
        <x:v>Prihodki podjetij</x:v>
      </x:c>
      <x:c r="C9" s="54" t="n">
        <x:v>327064919</x:v>
      </x:c>
      <x:c r="D9" s="16" t="str">
        <x:v>2025</x:v>
      </x:c>
      <x:c r="E9" s="16" t="str">
        <x:v>A</x:v>
      </x:c>
      <x:c r="F9" s="16" t="str">
        <x:v>GZS ZRS / AJPES</x:v>
      </x:c>
      <x:c r="G9" s="16" t="str">
        <x:v>EUR</x:v>
      </x:c>
    </x:row>
    <x:row r="10">
      <x:c r="A10" s="17" t="str">
        <x:v>Ožji trg</x:v>
      </x:c>
      <x:c r="B10" s="17" t="str">
        <x:v>Prihodki malih s.p.</x:v>
      </x:c>
      <x:c r="C10" s="55" t="n">
        <x:v>52440721</x:v>
      </x:c>
      <x:c r="D10" s="17" t="str">
        <x:v>2025</x:v>
      </x:c>
      <x:c r="E10" s="17" t="str">
        <x:v>A</x:v>
      </x:c>
      <x:c r="F10" s="17" t="str">
        <x:v>GZS ZRS / AJPES</x:v>
      </x:c>
      <x:c r="G10" s="17" t="str">
        <x:v>EUR</x:v>
      </x:c>
    </x:row>
    <x:row r="11">
      <x:c r="A11" s="16" t="str">
        <x:v>Ožji trg</x:v>
      </x:c>
      <x:c r="B11" s="16" t="str">
        <x:v>Skupni prihodki</x:v>
      </x:c>
      <x:c r="C11" s="54" t="n">
        <x:v>379505640</x:v>
      </x:c>
      <x:c r="D11" s="16" t="str">
        <x:v>2025</x:v>
      </x:c>
      <x:c r="E11" s="16" t="str">
        <x:v>A</x:v>
      </x:c>
      <x:c r="F11" s="16" t="str">
        <x:v>Izračun iz GZS ZRS</x:v>
      </x:c>
      <x:c r="G11" s="16" t="str">
        <x:v>EUR</x:v>
      </x:c>
    </x:row>
    <x:row r="12">
      <x:c r="A12" s="17" t="str">
        <x:v>Ožji trg</x:v>
      </x:c>
      <x:c r="B12" s="17" t="str">
        <x:v>EBITDA podjetij</x:v>
      </x:c>
      <x:c r="C12" s="55" t="n">
        <x:v>50094307</x:v>
      </x:c>
      <x:c r="D12" s="17" t="str">
        <x:v>2025</x:v>
      </x:c>
      <x:c r="E12" s="17" t="str">
        <x:v>A</x:v>
      </x:c>
      <x:c r="F12" s="17" t="str">
        <x:v>GZS ZRS / AJPES</x:v>
      </x:c>
      <x:c r="G12" s="17" t="str">
        <x:v>EUR</x:v>
      </x:c>
    </x:row>
    <x:row r="13">
      <x:c r="A13" s="16" t="str">
        <x:v>Ožji trg</x:v>
      </x:c>
      <x:c r="B13" s="16" t="str">
        <x:v>EBITDA malih s.p.</x:v>
      </x:c>
      <x:c r="C13" s="54" t="n">
        <x:v>11773861</x:v>
      </x:c>
      <x:c r="D13" s="16" t="str">
        <x:v>2025</x:v>
      </x:c>
      <x:c r="E13" s="16" t="str">
        <x:v>A</x:v>
      </x:c>
      <x:c r="F13" s="16" t="str">
        <x:v>GZS ZRS / AJPES</x:v>
      </x:c>
      <x:c r="G13" s="16" t="str">
        <x:v>EUR</x:v>
      </x:c>
    </x:row>
    <x:row r="14">
      <x:c r="A14" s="17" t="str">
        <x:v>Ožji trg</x:v>
      </x:c>
      <x:c r="B14" s="17" t="str">
        <x:v>Skupni EBITDA</x:v>
      </x:c>
      <x:c r="C14" s="55" t="n">
        <x:v>61868168</x:v>
      </x:c>
      <x:c r="D14" s="17" t="str">
        <x:v>2025</x:v>
      </x:c>
      <x:c r="E14" s="17" t="str">
        <x:v>A</x:v>
      </x:c>
      <x:c r="F14" s="17" t="str">
        <x:v>Izračun iz GZS ZRS</x:v>
      </x:c>
      <x:c r="G14" s="17" t="str">
        <x:v>EUR</x:v>
      </x:c>
    </x:row>
    <x:row r="15">
      <x:c r="A15" s="16" t="str">
        <x:v>Ožji trg</x:v>
      </x:c>
      <x:c r="B15" s="16" t="str">
        <x:v>Stroški dela skupaj</x:v>
      </x:c>
      <x:c r="C15" s="54" t="n">
        <x:v>163241361</x:v>
      </x:c>
      <x:c r="D15" s="16" t="str">
        <x:v>2025</x:v>
      </x:c>
      <x:c r="E15" s="16" t="str">
        <x:v>A</x:v>
      </x:c>
      <x:c r="F15" s="16" t="str">
        <x:v>Izračun iz GZS ZRS</x:v>
      </x:c>
      <x:c r="G15" s="16" t="str">
        <x:v>EUR; primerljivost s.p. omejena</x:v>
      </x:c>
    </x:row>
    <x:row r="16">
      <x:c r="A16" s="17" t="str">
        <x:v>Podjetja ožjega trga</x:v>
      </x:c>
      <x:c r="B16" s="17" t="str">
        <x:v>EBITDA marža</x:v>
      </x:c>
      <x:c r="C16" s="56" t="n">
        <x:v>0.1501</x:v>
      </x:c>
      <x:c r="D16" s="17" t="str">
        <x:v>2025</x:v>
      </x:c>
      <x:c r="E16" s="17" t="str">
        <x:v>A</x:v>
      </x:c>
      <x:c r="F16" s="17" t="str">
        <x:v>GZS ZRS / AJPES</x:v>
      </x:c>
      <x:c r="G16" s="17" t="str">
        <x:v>Delež</x:v>
      </x:c>
    </x:row>
    <x:row r="17">
      <x:c r="A17" s="16" t="str">
        <x:v>Podjetja ožjega trga</x:v>
      </x:c>
      <x:c r="B17" s="16" t="str">
        <x:v>EBIT marža</x:v>
      </x:c>
      <x:c r="C17" s="57" t="n">
        <x:v>0.1081</x:v>
      </x:c>
      <x:c r="D17" s="16" t="str">
        <x:v>2025</x:v>
      </x:c>
      <x:c r="E17" s="16" t="str">
        <x:v>A</x:v>
      </x:c>
      <x:c r="F17" s="16" t="str">
        <x:v>GZS ZRS / AJPES</x:v>
      </x:c>
      <x:c r="G17" s="16" t="str">
        <x:v>Delež</x:v>
      </x:c>
    </x:row>
    <x:row r="18">
      <x:c r="A18" s="17" t="str">
        <x:v>Podjetja ožjega trga</x:v>
      </x:c>
      <x:c r="B18" s="17" t="str">
        <x:v>Neto marža</x:v>
      </x:c>
      <x:c r="C18" s="56" t="n">
        <x:v>0.0929</x:v>
      </x:c>
      <x:c r="D18" s="17" t="str">
        <x:v>2025</x:v>
      </x:c>
      <x:c r="E18" s="17" t="str">
        <x:v>A</x:v>
      </x:c>
      <x:c r="F18" s="17" t="str">
        <x:v>GZS ZRS / AJPES</x:v>
      </x:c>
      <x:c r="G18" s="17" t="str">
        <x:v>Delež</x:v>
      </x:c>
    </x:row>
    <x:row r="19">
      <x:c r="A19" s="16" t="str">
        <x:v>Podjetja ožjega trga</x:v>
      </x:c>
      <x:c r="B19" s="16" t="str">
        <x:v>Prihodki/FTE</x:v>
      </x:c>
      <x:c r="C19" s="54" t="n">
        <x:v>87689</x:v>
      </x:c>
      <x:c r="D19" s="16" t="str">
        <x:v>2025</x:v>
      </x:c>
      <x:c r="E19" s="16" t="str">
        <x:v>A</x:v>
      </x:c>
      <x:c r="F19" s="16" t="str">
        <x:v>GZS ZRS / AJPES</x:v>
      </x:c>
      <x:c r="G19" s="16" t="str">
        <x:v>EUR</x:v>
      </x:c>
    </x:row>
    <x:row r="20">
      <x:c r="A20" s="17" t="str">
        <x:v>Slovenija vse dejavnosti</x:v>
      </x:c>
      <x:c r="B20" s="17" t="str">
        <x:v>Podjetja</x:v>
      </x:c>
      <x:c r="C20" s="55" t="n">
        <x:v>205974</x:v>
      </x:c>
      <x:c r="D20" s="17" t="str">
        <x:v>2024</x:v>
      </x:c>
      <x:c r="E20" s="17" t="str">
        <x:v>A</x:v>
      </x:c>
      <x:c r="F20" s="17" t="str">
        <x:v>SURS</x:v>
      </x:c>
      <x:c r="G20" s="17" t="str">
        <x:v>Makro kontekst</x:v>
      </x:c>
    </x:row>
    <x:row r="21">
      <x:c r="A21" s="16" t="str">
        <x:v>Strokovne, znanstvene, tehnične</x:v>
      </x:c>
      <x:c r="B21" s="16" t="str">
        <x:v>Podjetja</x:v>
      </x:c>
      <x:c r="C21" s="54" t="n">
        <x:v>41763</x:v>
      </x:c>
      <x:c r="D21" s="16" t="str">
        <x:v>2024</x:v>
      </x:c>
      <x:c r="E21" s="16" t="str">
        <x:v>A</x:v>
      </x:c>
      <x:c r="F21" s="16" t="str">
        <x:v>SURS</x:v>
      </x:c>
      <x:c r="G21" s="16" t="str">
        <x:v>Širši odsek M</x:v>
      </x:c>
    </x:row>
    <x:row r="22">
      <x:c r="A22" s="17" t="str">
        <x:v>Mednarodni vzorec</x:v>
      </x:c>
      <x:c r="B22" s="17" t="str">
        <x:v>Respondenti workflow raziskave</x:v>
      </x:c>
      <x:c r="C22" s="17" t="n">
        <x:v>816</x:v>
      </x:c>
      <x:c r="D22" s="17" t="str">
        <x:v>2025/2026</x:v>
      </x:c>
      <x:c r="E22" s="17" t="str">
        <x:v>B</x:v>
      </x:c>
      <x:c r="F22" s="17" t="str">
        <x:v>Financial Cents</x:v>
      </x:c>
      <x:c r="G22" s="17" t="str">
        <x:v>Predvsem Severna Amerika; ni slovensko povprečje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14" hidden="0" customWidth="1"/>
    <x:col min="4" max="4" width="14" hidden="0" customWidth="1"/>
    <x:col min="5" max="5" width="30" hidden="0" customWidth="1"/>
    <x:col min="6" max="6" width="30" hidden="0" customWidth="1"/>
    <x:col min="7" max="7" width="30" hidden="0" customWidth="1"/>
    <x:col min="8" max="8" width="10" hidden="0" customWidth="1"/>
  </x:cols>
  <x:sheetData>
    <x:row r="1" ht="30" customHeight="1">
      <x:c r="A1" s="3" t="str">
        <x:v>Segmentacija servisov</x:v>
      </x:c>
    </x:row>
    <x:row r="2" ht="34" customHeight="1">
      <x:c r="A2" s="7" t="str">
        <x:v>Meje velikosti so hipoteze za kvalifikacijo, ne uradni statistični razredi.</x:v>
      </x:c>
    </x:row>
    <x:row r="4" ht="28" customHeight="1">
      <x:c r="A4" s="12" t="str">
        <x:v>ID</x:v>
      </x:c>
      <x:c r="B4" s="12" t="str">
        <x:v>Segment</x:v>
      </x:c>
      <x:c r="C4" s="12" t="str">
        <x:v>Velikost</x:v>
      </x:c>
      <x:c r="D4" s="12" t="str">
        <x:v>Stranke</x:v>
      </x:c>
      <x:c r="E4" s="12" t="str">
        <x:v>Problem</x:v>
      </x:c>
      <x:c r="F4" s="12" t="str">
        <x:v>Motiv</x:v>
      </x:c>
      <x:c r="G4" s="12" t="str">
        <x:v>Ovira</x:v>
      </x:c>
      <x:c r="H4" s="12" t="str">
        <x:v>Dokaz</x:v>
      </x:c>
    </x:row>
    <x:row r="5">
      <x:c r="A5" s="16" t="str">
        <x:v>S1</x:v>
      </x:c>
      <x:c r="B5" s="16" t="str">
        <x:v>Solo izvajalec</x:v>
      </x:c>
      <x:c r="C5" s="16" t="str">
        <x:v>1 FTE</x:v>
      </x:c>
      <x:c r="D5" s="16" t="str">
        <x:v>20-80</x:v>
      </x:c>
      <x:c r="E5" s="16" t="str">
        <x:v>lastniška preobremenjenost</x:v>
      </x:c>
      <x:c r="F5" s="16" t="str">
        <x:v>čas, opomniki</x:v>
      </x:c>
      <x:c r="G5" s="16" t="str">
        <x:v>cena, čas uvedbe</x:v>
      </x:c>
      <x:c r="H5" s="16" t="str">
        <x:v>H</x:v>
      </x:c>
    </x:row>
    <x:row r="6">
      <x:c r="A6" s="17" t="str">
        <x:v>S2</x:v>
      </x:c>
      <x:c r="B6" s="17" t="str">
        <x:v>Mikro servis</x:v>
      </x:c>
      <x:c r="C6" s="17" t="str">
        <x:v>2-4 FTE</x:v>
      </x:c>
      <x:c r="D6" s="17" t="str">
        <x:v>40-150</x:v>
      </x:c>
      <x:c r="E6" s="17" t="str">
        <x:v>osebni postopki</x:v>
      </x:c>
      <x:c r="F6" s="17" t="str">
        <x:v>standardizacija, nadomeščanje</x:v>
      </x:c>
      <x:c r="G6" s="17" t="str">
        <x:v>strah pred motnjo</x:v>
      </x:c>
      <x:c r="H6" s="17" t="str">
        <x:v>H</x:v>
      </x:c>
    </x:row>
    <x:row r="7">
      <x:c r="A7" s="16" t="str">
        <x:v>S3</x:v>
      </x:c>
      <x:c r="B7" s="16" t="str">
        <x:v>Rastoči servis</x:v>
      </x:c>
      <x:c r="C7" s="16" t="str">
        <x:v>5-15 FTE</x:v>
      </x:c>
      <x:c r="D7" s="16" t="str">
        <x:v>100-350</x:v>
      </x:c>
      <x:c r="E7" s="16" t="str">
        <x:v>rast brez pregleda</x:v>
      </x:c>
      <x:c r="F7" s="16" t="str">
        <x:v>kapaciteta, roki</x:v>
      </x:c>
      <x:c r="G7" s="16" t="str">
        <x:v>migracija, disciplina strank</x:v>
      </x:c>
      <x:c r="H7" s="16" t="str">
        <x:v>H</x:v>
      </x:c>
    </x:row>
    <x:row r="8">
      <x:c r="A8" s="17" t="str">
        <x:v>S4</x:v>
      </x:c>
      <x:c r="B8" s="17" t="str">
        <x:v>Profesionaliziran servis</x:v>
      </x:c>
      <x:c r="C8" s="17" t="str">
        <x:v>16-50 FTE</x:v>
      </x:c>
      <x:c r="D8" s="17" t="str">
        <x:v>250-1.000</x:v>
      </x:c>
      <x:c r="E8" s="17" t="str">
        <x:v>portfelj in kakovost</x:v>
      </x:c>
      <x:c r="F8" s="17" t="str">
        <x:v>SLA, BI, integracije</x:v>
      </x:c>
      <x:c r="G8" s="17" t="str">
        <x:v>kompleksnost</x:v>
      </x:c>
      <x:c r="H8" s="17" t="str">
        <x:v>H</x:v>
      </x:c>
    </x:row>
    <x:row r="9">
      <x:c r="A9" s="16" t="str">
        <x:v>S5</x:v>
      </x:c>
      <x:c r="B9" s="16" t="str">
        <x:v>Specializiran servis</x:v>
      </x:c>
      <x:c r="C9" s="16" t="str">
        <x:v>različno</x:v>
      </x:c>
      <x:c r="D9" s="16" t="str">
        <x:v>različno</x:v>
      </x:c>
      <x:c r="E9" s="16" t="str">
        <x:v>posebna pravila</x:v>
      </x:c>
      <x:c r="F9" s="16" t="str">
        <x:v>lokalizacija, sledljivost</x:v>
      </x:c>
      <x:c r="G9" s="16" t="str">
        <x:v>funkcionalne vrzeli</x:v>
      </x:c>
      <x:c r="H9" s="16" t="str">
        <x:v>H</x:v>
      </x:c>
    </x:row>
    <x:row r="10">
      <x:c r="A10" s="17" t="str">
        <x:v>S6</x:v>
      </x:c>
      <x:c r="B10" s="17" t="str">
        <x:v>Notranji center/BPO</x:v>
      </x:c>
      <x:c r="C10" s="17" t="str">
        <x:v>več ekip</x:v>
      </x:c>
      <x:c r="D10" s="17" t="str">
        <x:v>več družb</x:v>
      </x:c>
      <x:c r="E10" s="17" t="str">
        <x:v>medpodjetniški tokovi</x:v>
      </x:c>
      <x:c r="F10" s="17" t="str">
        <x:v>konsolidacija podatkov</x:v>
      </x:c>
      <x:c r="G10" s="17" t="str">
        <x:v>arhitektura in upravljanje</x:v>
      </x:c>
      <x:c r="H10" s="17" t="str">
        <x:v>H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10" hidden="0" customWidth="1"/>
    <x:col min="4" max="4" width="25" hidden="0" customWidth="1"/>
    <x:col min="5" max="5" width="15" hidden="0" customWidth="1"/>
    <x:col min="6" max="6" width="30" hidden="0" customWidth="1"/>
    <x:col min="7" max="7" width="32" hidden="0" customWidth="1"/>
  </x:cols>
  <x:sheetData>
    <x:row r="1" ht="30" customHeight="1">
      <x:c r="A1" s="3" t="str">
        <x:v>Operativni arhetipi</x:v>
      </x:c>
    </x:row>
    <x:row r="2" ht="34" customHeight="1">
      <x:c r="A2" s="7" t="str">
        <x:v>Arhetip dopolnjuje velikost in bolje opisuje digitalno vedenje.</x:v>
      </x:c>
    </x:row>
    <x:row r="4" ht="28" customHeight="1">
      <x:c r="A4" s="12" t="str">
        <x:v>ID</x:v>
      </x:c>
      <x:c r="B4" s="12" t="str">
        <x:v>Arhetip</x:v>
      </x:c>
      <x:c r="C4" s="12" t="str">
        <x:v>FTE</x:v>
      </x:c>
      <x:c r="D4" s="12" t="str">
        <x:v>Vhod</x:v>
      </x:c>
      <x:c r="E4" s="12" t="str">
        <x:v>Zrelost</x:v>
      </x:c>
      <x:c r="F4" s="12" t="str">
        <x:v>Naslednji korak</x:v>
      </x:c>
      <x:c r="G4" s="12" t="str">
        <x:v>Tveganje</x:v>
      </x:c>
    </x:row>
    <x:row r="5">
      <x:c r="A5" s="16" t="str">
        <x:v>A1</x:v>
      </x:c>
      <x:c r="B5" s="16" t="str">
        <x:v>Papirni pragmatik</x:v>
      </x:c>
      <x:c r="C5" s="16" t="str">
        <x:v>1-2</x:v>
      </x:c>
      <x:c r="D5" s="16" t="str">
        <x:v>e-pošta, papir</x:v>
      </x:c>
      <x:c r="E5" s="16" t="str">
        <x:v>nizka</x:v>
      </x:c>
      <x:c r="F5" s="16" t="str">
        <x:v>enoten vhod</x:v>
      </x:c>
      <x:c r="G5" s="16" t="str">
        <x:v>prisila strank</x:v>
      </x:c>
    </x:row>
    <x:row r="6">
      <x:c r="A6" s="17" t="str">
        <x:v>A2</x:v>
      </x:c>
      <x:c r="B6" s="17" t="str">
        <x:v>Digitalni ročni izvajalec</x:v>
      </x:c>
      <x:c r="C6" s="17" t="str">
        <x:v>2-8</x:v>
      </x:c>
      <x:c r="D6" s="17" t="str">
        <x:v>PDF mape, e-pošta</x:v>
      </x:c>
      <x:c r="E6" s="17" t="str">
        <x:v>srednje nizka</x:v>
      </x:c>
      <x:c r="F6" s="17" t="str">
        <x:v>OCR + pravila</x:v>
      </x:c>
      <x:c r="G6" s="17" t="str">
        <x:v>digitalno ni enako avtomatizirano</x:v>
      </x:c>
    </x:row>
    <x:row r="7">
      <x:c r="A7" s="16" t="str">
        <x:v>A3</x:v>
      </x:c>
      <x:c r="B7" s="16" t="str">
        <x:v>Rastoči standardizator</x:v>
      </x:c>
      <x:c r="C7" s="16" t="str">
        <x:v>5-20</x:v>
      </x:c>
      <x:c r="D7" s="16" t="str">
        <x:v>portal + del e-računov</x:v>
      </x:c>
      <x:c r="E7" s="16" t="str">
        <x:v>srednja</x:v>
      </x:c>
      <x:c r="F7" s="16" t="str">
        <x:v>konzola, SLA, valovi</x:v>
      </x:c>
      <x:c r="G7" s="16" t="str">
        <x:v>procesna disciplina</x:v>
      </x:c>
    </x:row>
    <x:row r="8">
      <x:c r="A8" s="17" t="str">
        <x:v>A4</x:v>
      </x:c>
      <x:c r="B8" s="17" t="str">
        <x:v>Podatkovni operator</x:v>
      </x:c>
      <x:c r="C8" s="17" t="str">
        <x:v>15-50</x:v>
      </x:c>
      <x:c r="D8" s="17" t="str">
        <x:v>strukturirani kanali/API</x:v>
      </x:c>
      <x:c r="E8" s="17" t="str">
        <x:v>visoka</x:v>
      </x:c>
      <x:c r="F8" s="17" t="str">
        <x:v>profitabilnost, BI</x:v>
      </x:c>
      <x:c r="G8" s="17" t="str">
        <x:v>integracijski dolg</x:v>
      </x:c>
    </x:row>
    <x:row r="9">
      <x:c r="A9" s="16" t="str">
        <x:v>A5</x:v>
      </x:c>
      <x:c r="B9" s="16" t="str">
        <x:v>Specialist niše</x:v>
      </x:c>
      <x:c r="C9" s="16" t="str">
        <x:v>3-30</x:v>
      </x:c>
      <x:c r="D9" s="16" t="str">
        <x:v>heterogeno</x:v>
      </x:c>
      <x:c r="E9" s="16" t="str">
        <x:v>srednja</x:v>
      </x:c>
      <x:c r="F9" s="16" t="str">
        <x:v>lokalizacija in povezave</x:v>
      </x:c>
      <x:c r="G9" s="16" t="str">
        <x:v>redke izjeme</x:v>
      </x:c>
    </x:row>
    <x:row r="10">
      <x:c r="A10" s="17" t="str">
        <x:v>A6</x:v>
      </x:c>
      <x:c r="B10" s="17" t="str">
        <x:v>Regionalni konsolidator</x:v>
      </x:c>
      <x:c r="C10" s="17" t="str">
        <x:v>20+</x:v>
      </x:c>
      <x:c r="D10" s="17" t="str">
        <x:v>več držav/sistemov</x:v>
      </x:c>
      <x:c r="E10" s="17" t="str">
        <x:v>različno</x:v>
      </x:c>
      <x:c r="F10" s="17" t="str">
        <x:v>upravljanje portfelja</x:v>
      </x:c>
      <x:c r="G10" s="17" t="str">
        <x:v>lokalizacija in migracija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18" hidden="0" customWidth="1"/>
    <x:col min="4" max="4" width="34" hidden="0" customWidth="1"/>
    <x:col min="5" max="5" width="30" hidden="0" customWidth="1"/>
    <x:col min="6" max="6" width="24" hidden="0" customWidth="1"/>
  </x:cols>
  <x:sheetData>
    <x:row r="1" ht="30" customHeight="1">
      <x:c r="A1" s="3" t="str">
        <x:v>28-stopenjska vrednostna veriga</x:v>
      </x:c>
    </x:row>
    <x:row r="2" ht="34" customHeight="1">
      <x:c r="A2" s="7" t="str">
        <x:v>Za vsak proces določite lastnika, vhod, kontrolno točko in KPI.</x:v>
      </x:c>
    </x:row>
    <x:row r="4" ht="28" customHeight="1">
      <x:c r="A4" s="12" t="str">
        <x:v>#</x:v>
      </x:c>
      <x:c r="B4" s="12" t="str">
        <x:v>Proces</x:v>
      </x:c>
      <x:c r="C4" s="12" t="str">
        <x:v>Domena</x:v>
      </x:c>
      <x:c r="D4" s="12" t="str">
        <x:v>Vsebina</x:v>
      </x:c>
      <x:c r="E4" s="12" t="str">
        <x:v>Glavna izguba</x:v>
      </x:c>
      <x:c r="F4" s="12" t="str">
        <x:v>KPI</x:v>
      </x:c>
    </x:row>
    <x:row r="5">
      <x:c r="A5" s="16" t="n">
        <x:v>1</x:v>
      </x:c>
      <x:c r="B5" s="16" t="str">
        <x:v>Kvalifikacija</x:v>
      </x:c>
      <x:c r="C5" s="16" t="str">
        <x:v>Prodaja</x:v>
      </x:c>
      <x:c r="D5" s="16" t="str">
        <x:v>profil, obseg, kompleksnost</x:v>
      </x:c>
      <x:c r="E5" s="16" t="str">
        <x:v>neustrezen paket</x:v>
      </x:c>
      <x:c r="F5" s="16" t="str">
        <x:v>čas do ponudbe</x:v>
      </x:c>
    </x:row>
    <x:row r="6">
      <x:c r="A6" s="17" t="n">
        <x:v>2</x:v>
      </x:c>
      <x:c r="B6" s="17" t="str">
        <x:v>Ponudba in pogodba</x:v>
      </x:c>
      <x:c r="C6" s="17" t="str">
        <x:v>Prodaja</x:v>
      </x:c>
      <x:c r="D6" s="17" t="str">
        <x:v>obseg, SLA, cena</x:v>
      </x:c>
      <x:c r="E6" s="17" t="str">
        <x:v>skrito brezplačno delo</x:v>
      </x:c>
      <x:c r="F6" s="17" t="str">
        <x:v>spremembe obsega</x:v>
      </x:c>
    </x:row>
    <x:row r="7">
      <x:c r="A7" s="16" t="n">
        <x:v>3</x:v>
      </x:c>
      <x:c r="B7" s="16" t="str">
        <x:v>AML identifikacija</x:v>
      </x:c>
      <x:c r="C7" s="16" t="str">
        <x:v>Skladnost</x:v>
      </x:c>
      <x:c r="D7" s="16" t="str">
        <x:v>KYC, tveganje</x:v>
      </x:c>
      <x:c r="E7" s="16" t="str">
        <x:v>nepopolna evidenca</x:v>
      </x:c>
      <x:c r="F7" s="16" t="str">
        <x:v>% popolnih dosjejev</x:v>
      </x:c>
    </x:row>
    <x:row r="8">
      <x:c r="A8" s="17" t="n">
        <x:v>4</x:v>
      </x:c>
      <x:c r="B8" s="17" t="str">
        <x:v>Pooblastila</x:v>
      </x:c>
      <x:c r="C8" s="17" t="str">
        <x:v>Onboarding</x:v>
      </x:c>
      <x:c r="D8" s="17" t="str">
        <x:v>FURS/AJPES/banke</x:v>
      </x:c>
      <x:c r="E8" s="17" t="str">
        <x:v>zamuda dostopov</x:v>
      </x:c>
      <x:c r="F8" s="17" t="str">
        <x:v>dnevi do dostopa</x:v>
      </x:c>
    </x:row>
    <x:row r="9">
      <x:c r="A9" s="16" t="n">
        <x:v>5</x:v>
      </x:c>
      <x:c r="B9" s="16" t="str">
        <x:v>Začetna stanja</x:v>
      </x:c>
      <x:c r="C9" s="16" t="str">
        <x:v>Onboarding</x:v>
      </x:c>
      <x:c r="D9" s="16" t="str">
        <x:v>GL, saldakonti, OS</x:v>
      </x:c>
      <x:c r="E9" s="16" t="str">
        <x:v>napačna migracija</x:v>
      </x:c>
      <x:c r="F9" s="16" t="str">
        <x:v>uskladitvene razlike</x:v>
      </x:c>
    </x:row>
    <x:row r="10">
      <x:c r="A10" s="17" t="n">
        <x:v>6</x:v>
      </x:c>
      <x:c r="B10" s="17" t="str">
        <x:v>Konfiguracija podjetja</x:v>
      </x:c>
      <x:c r="C10" s="17" t="str">
        <x:v>Onboarding</x:v>
      </x:c>
      <x:c r="D10" s="17" t="str">
        <x:v>šifranti, DDV, konti</x:v>
      </x:c>
      <x:c r="E10" s="17" t="str">
        <x:v>napačna pravila</x:v>
      </x:c>
      <x:c r="F10" s="17" t="str">
        <x:v>popravki konfiguracije</x:v>
      </x:c>
    </x:row>
    <x:row r="11">
      <x:c r="A11" s="16" t="n">
        <x:v>7</x:v>
      </x:c>
      <x:c r="B11" s="16" t="str">
        <x:v>Vhodni kanali</x:v>
      </x:c>
      <x:c r="C11" s="16" t="str">
        <x:v>Dokumenti</x:v>
      </x:c>
      <x:c r="D11" s="16" t="str">
        <x:v>portal, e-račun, e-pošta</x:v>
      </x:c>
      <x:c r="E11" s="16" t="str">
        <x:v>fragmentacija</x:v>
      </x:c>
      <x:c r="F11" s="16" t="str">
        <x:v>% strukturiranih vhodov</x:v>
      </x:c>
    </x:row>
    <x:row r="12">
      <x:c r="A12" s="17" t="n">
        <x:v>8</x:v>
      </x:c>
      <x:c r="B12" s="17" t="str">
        <x:v>Zajem dokumentov</x:v>
      </x:c>
      <x:c r="C12" s="17" t="str">
        <x:v>Dokumenti</x:v>
      </x:c>
      <x:c r="D12" s="17" t="str">
        <x:v>prejem in status</x:v>
      </x:c>
      <x:c r="E12" s="17" t="str">
        <x:v>izgubljeni dokumenti</x:v>
      </x:c>
      <x:c r="F12" s="17" t="str">
        <x:v>% do cut-offa</x:v>
      </x:c>
    </x:row>
    <x:row r="13">
      <x:c r="A13" s="16" t="n">
        <x:v>9</x:v>
      </x:c>
      <x:c r="B13" s="16" t="str">
        <x:v>OCR/strukturiranje</x:v>
      </x:c>
      <x:c r="C13" s="16" t="str">
        <x:v>Dokumenti</x:v>
      </x:c>
      <x:c r="D13" s="16" t="str">
        <x:v>prepoznava polj</x:v>
      </x:c>
      <x:c r="E13" s="16" t="str">
        <x:v>napačna polja</x:v>
      </x:c>
      <x:c r="F13" s="16" t="str">
        <x:v>% brez popravka</x:v>
      </x:c>
    </x:row>
    <x:row r="14">
      <x:c r="A14" s="17" t="n">
        <x:v>10</x:v>
      </x:c>
      <x:c r="B14" s="17" t="str">
        <x:v>Validacija</x:v>
      </x:c>
      <x:c r="C14" s="17" t="str">
        <x:v>Kontrola</x:v>
      </x:c>
      <x:c r="D14" s="17" t="str">
        <x:v>duplikati, formalna pravila</x:v>
      </x:c>
      <x:c r="E14" s="17" t="str">
        <x:v>spregled napake</x:v>
      </x:c>
      <x:c r="F14" s="17" t="str">
        <x:v>izjeme/100 docs</x:v>
      </x:c>
    </x:row>
    <x:row r="15">
      <x:c r="A15" s="16" t="n">
        <x:v>11</x:v>
      </x:c>
      <x:c r="B15" s="16" t="str">
        <x:v>Odobritev</x:v>
      </x:c>
      <x:c r="C15" s="16" t="str">
        <x:v>Workflow</x:v>
      </x:c>
      <x:c r="D15" s="16" t="str">
        <x:v>potrditev vsebine</x:v>
      </x:c>
      <x:c r="E15" s="16" t="str">
        <x:v>ozko grlo</x:v>
      </x:c>
      <x:c r="F15" s="16" t="str">
        <x:v>čas odobritve</x:v>
      </x:c>
    </x:row>
    <x:row r="16">
      <x:c r="A16" s="17" t="n">
        <x:v>12</x:v>
      </x:c>
      <x:c r="B16" s="17" t="str">
        <x:v>Kontiranje</x:v>
      </x:c>
      <x:c r="C16" s="17" t="str">
        <x:v>Knjigovodstvo</x:v>
      </x:c>
      <x:c r="D16" s="17" t="str">
        <x:v>konti in davčne kode</x:v>
      </x:c>
      <x:c r="E16" s="17" t="str">
        <x:v>ročni predlogi</x:v>
      </x:c>
      <x:c r="F16" s="17" t="str">
        <x:v>min/dokument</x:v>
      </x:c>
    </x:row>
    <x:row r="17">
      <x:c r="A17" s="16" t="n">
        <x:v>13</x:v>
      </x:c>
      <x:c r="B17" s="16" t="str">
        <x:v>Knjiženje</x:v>
      </x:c>
      <x:c r="C17" s="16" t="str">
        <x:v>Knjigovodstvo</x:v>
      </x:c>
      <x:c r="D17" s="16" t="str">
        <x:v>transakcija v GL</x:v>
      </x:c>
      <x:c r="E17" s="16" t="str">
        <x:v>podvajanje</x:v>
      </x:c>
      <x:c r="F17" s="16" t="str">
        <x:v>% avtomatskih knjižb</x:v>
      </x:c>
    </x:row>
    <x:row r="18">
      <x:c r="A18" s="17" t="n">
        <x:v>14</x:v>
      </x:c>
      <x:c r="B18" s="17" t="str">
        <x:v>Banka</x:v>
      </x:c>
      <x:c r="C18" s="17" t="str">
        <x:v>Finance</x:v>
      </x:c>
      <x:c r="D18" s="17" t="str">
        <x:v>uvoz in ujemanje</x:v>
      </x:c>
      <x:c r="E18" s="17" t="str">
        <x:v>ročno usklajevanje</x:v>
      </x:c>
      <x:c r="F18" s="17" t="str">
        <x:v>% samodejnih ujemanj</x:v>
      </x:c>
    </x:row>
    <x:row r="19">
      <x:c r="A19" s="16" t="n">
        <x:v>15</x:v>
      </x:c>
      <x:c r="B19" s="16" t="str">
        <x:v>Saldakonti</x:v>
      </x:c>
      <x:c r="C19" s="16" t="str">
        <x:v>Finance</x:v>
      </x:c>
      <x:c r="D19" s="16" t="str">
        <x:v>terjatve/obveznosti</x:v>
      </x:c>
      <x:c r="E19" s="16" t="str">
        <x:v>stare odprte postavke</x:v>
      </x:c>
      <x:c r="F19" s="16" t="str">
        <x:v>staranje postavk</x:v>
      </x:c>
    </x:row>
    <x:row r="20">
      <x:c r="A20" s="17" t="n">
        <x:v>16</x:v>
      </x:c>
      <x:c r="B20" s="17" t="str">
        <x:v>DDV</x:v>
      </x:c>
      <x:c r="C20" s="17" t="str">
        <x:v>Davki</x:v>
      </x:c>
      <x:c r="D20" s="17" t="str">
        <x:v>evidence in obračun</x:v>
      </x:c>
      <x:c r="E20" s="17" t="str">
        <x:v>napačna obdobja</x:v>
      </x:c>
      <x:c r="F20" s="17" t="str">
        <x:v>popravki/100 strank</x:v>
      </x:c>
    </x:row>
    <x:row r="21">
      <x:c r="A21" s="16" t="n">
        <x:v>17</x:v>
      </x:c>
      <x:c r="B21" s="16" t="str">
        <x:v>Osnovna sredstva</x:v>
      </x:c>
      <x:c r="C21" s="16" t="str">
        <x:v>Evidence</x:v>
      </x:c>
      <x:c r="D21" s="16" t="str">
        <x:v>register in amortizacija</x:v>
      </x:c>
      <x:c r="E21" s="16" t="str">
        <x:v>manjkajoče spremembe</x:v>
      </x:c>
      <x:c r="F21" s="16" t="str">
        <x:v>usklajenost registra</x:v>
      </x:c>
    </x:row>
    <x:row r="22">
      <x:c r="A22" s="17" t="n">
        <x:v>18</x:v>
      </x:c>
      <x:c r="B22" s="17" t="str">
        <x:v>Zaloge</x:v>
      </x:c>
      <x:c r="C22" s="17" t="str">
        <x:v>Evidence</x:v>
      </x:c>
      <x:c r="D22" s="17" t="str">
        <x:v>količina in vrednost</x:v>
      </x:c>
      <x:c r="E22" s="17" t="str">
        <x:v>razlike</x:v>
      </x:c>
      <x:c r="F22" s="17" t="str">
        <x:v>inventurne razlike</x:v>
      </x:c>
    </x:row>
    <x:row r="23">
      <x:c r="A23" s="16" t="n">
        <x:v>19</x:v>
      </x:c>
      <x:c r="B23" s="16" t="str">
        <x:v>Plače in kadri</x:v>
      </x:c>
      <x:c r="C23" s="16" t="str">
        <x:v>Plače</x:v>
      </x:c>
      <x:c r="D23" s="16" t="str">
        <x:v>vhodni podatki, obračun</x:v>
      </x:c>
      <x:c r="E23" s="16" t="str">
        <x:v>zadnje spremembe</x:v>
      </x:c>
      <x:c r="F23" s="16" t="str">
        <x:v>popravki/100 zaposlenih</x:v>
      </x:c>
    </x:row>
    <x:row r="24">
      <x:c r="A24" s="17" t="n">
        <x:v>20</x:v>
      </x:c>
      <x:c r="B24" s="17" t="str">
        <x:v>Mesečni cut-off</x:v>
      </x:c>
      <x:c r="C24" s="17" t="str">
        <x:v>Zaključek</x:v>
      </x:c>
      <x:c r="D24" s="17" t="str">
        <x:v>rok za vhode</x:v>
      </x:c>
      <x:c r="E24" s="17" t="str">
        <x:v>kopičenje</x:v>
      </x:c>
      <x:c r="F24" s="17" t="str">
        <x:v>% dokumentov do cut-offa</x:v>
      </x:c>
    </x:row>
    <x:row r="25">
      <x:c r="A25" s="16" t="n">
        <x:v>21</x:v>
      </x:c>
      <x:c r="B25" s="16" t="str">
        <x:v>Kontrole zaključka</x:v>
      </x:c>
      <x:c r="C25" s="16" t="str">
        <x:v>Zaključek</x:v>
      </x:c>
      <x:c r="D25" s="16" t="str">
        <x:v>kontrolni seznam</x:v>
      </x:c>
      <x:c r="E25" s="16" t="str">
        <x:v>nevidne izjeme</x:v>
      </x:c>
      <x:c r="F25" s="16" t="str">
        <x:v>odprte kontrole</x:v>
      </x:c>
    </x:row>
    <x:row r="26">
      <x:c r="A26" s="17" t="n">
        <x:v>22</x:v>
      </x:c>
      <x:c r="B26" s="17" t="str">
        <x:v>Poročanje stranki</x:v>
      </x:c>
      <x:c r="C26" s="17" t="str">
        <x:v>Poročanje</x:v>
      </x:c>
      <x:c r="D26" s="17" t="str">
        <x:v>paket poročil</x:v>
      </x:c>
      <x:c r="E26" s="17" t="str">
        <x:v>ročni Exceli</x:v>
      </x:c>
      <x:c r="F26" s="17" t="str">
        <x:v>čas do poročila</x:v>
      </x:c>
    </x:row>
    <x:row r="27">
      <x:c r="A27" s="16" t="n">
        <x:v>23</x:v>
      </x:c>
      <x:c r="B27" s="16" t="str">
        <x:v>Davčne oddaje</x:v>
      </x:c>
      <x:c r="C27" s="16" t="str">
        <x:v>Davki</x:v>
      </x:c>
      <x:c r="D27" s="16" t="str">
        <x:v>FURS/eDavki</x:v>
      </x:c>
      <x:c r="E27" s="16" t="str">
        <x:v>zamujen rok</x:v>
      </x:c>
      <x:c r="F27" s="16" t="str">
        <x:v>oddaje po roku</x:v>
      </x:c>
    </x:row>
    <x:row r="28">
      <x:c r="A28" s="17" t="n">
        <x:v>24</x:v>
      </x:c>
      <x:c r="B28" s="17" t="str">
        <x:v>Letni zaključek</x:v>
      </x:c>
      <x:c r="C28" s="17" t="str">
        <x:v>Zaključek</x:v>
      </x:c>
      <x:c r="D28" s="17" t="str">
        <x:v>uskladitve, pojasnila</x:v>
      </x:c>
      <x:c r="E28" s="17" t="str">
        <x:v>sezonske nadure</x:v>
      </x:c>
      <x:c r="F28" s="17" t="str">
        <x:v>ure/stranko</x:v>
      </x:c>
    </x:row>
    <x:row r="29">
      <x:c r="A29" s="16" t="n">
        <x:v>25</x:v>
      </x:c>
      <x:c r="B29" s="16" t="str">
        <x:v>AJPES</x:v>
      </x:c>
      <x:c r="C29" s="16" t="str">
        <x:v>Poročanje</x:v>
      </x:c>
      <x:c r="D29" s="16" t="str">
        <x:v>letna poročila</x:v>
      </x:c>
      <x:c r="E29" s="16" t="str">
        <x:v>popravki</x:v>
      </x:c>
      <x:c r="F29" s="16" t="str">
        <x:v>čas in popravki</x:v>
      </x:c>
    </x:row>
    <x:row r="30">
      <x:c r="A30" s="17" t="n">
        <x:v>26</x:v>
      </x:c>
      <x:c r="B30" s="17" t="str">
        <x:v>Nadzor/revizija</x:v>
      </x:c>
      <x:c r="C30" s="17" t="str">
        <x:v>Skladnost</x:v>
      </x:c>
      <x:c r="D30" s="17" t="str">
        <x:v>dokazila in sled</x:v>
      </x:c>
      <x:c r="E30" s="17" t="str">
        <x:v>iskanje dokazov</x:v>
      </x:c>
      <x:c r="F30" s="17" t="str">
        <x:v>čas do dokazila</x:v>
      </x:c>
    </x:row>
    <x:row r="31">
      <x:c r="A31" s="16" t="n">
        <x:v>27</x:v>
      </x:c>
      <x:c r="B31" s="16" t="str">
        <x:v>Arhiv in hramba</x:v>
      </x:c>
      <x:c r="C31" s="16" t="str">
        <x:v>Dokumenti</x:v>
      </x:c>
      <x:c r="D31" s="16" t="str">
        <x:v>DMS, roki hrambe</x:v>
      </x:c>
      <x:c r="E31" s="16" t="str">
        <x:v>izguba ali preširok dostop</x:v>
      </x:c>
      <x:c r="F31" s="16" t="str">
        <x:v>delež sledljivih dokumentov</x:v>
      </x:c>
    </x:row>
    <x:row r="32">
      <x:c r="A32" s="17" t="n">
        <x:v>28</x:v>
      </x:c>
      <x:c r="B32" s="17" t="str">
        <x:v>Offboarding/prenos</x:v>
      </x:c>
      <x:c r="C32" s="17" t="str">
        <x:v>Odnos</x:v>
      </x:c>
      <x:c r="D32" s="17" t="str">
        <x:v>izvoz, preklic dostopov</x:v>
      </x:c>
      <x:c r="E32" s="17" t="str">
        <x:v>nepopoln prenos</x:v>
      </x:c>
      <x:c r="F32" s="17" t="str">
        <x:v>dnevi do zaključka prenosa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8" hidden="0" customWidth="1"/>
    <x:col min="4" max="4" width="28" hidden="0" customWidth="1"/>
    <x:col min="5" max="5" width="28" hidden="0" customWidth="1"/>
    <x:col min="6" max="6" width="30" hidden="0" customWidth="1"/>
  </x:cols>
  <x:sheetData>
    <x:row r="1" ht="30" customHeight="1">
      <x:c r="A1" s="3" t="str">
        <x:v>Kritični podprocesi in kontrole</x:v>
      </x:c>
    </x:row>
    <x:row r="2" ht="34" customHeight="1">
      <x:c r="A2" s="7" t="str">
        <x:v>Podrobnejši podatkovni tok za oblikovanje zahtev in testnih primerov.</x:v>
      </x:c>
    </x:row>
    <x:row r="4" ht="28" customHeight="1">
      <x:c r="A4" s="12" t="str">
        <x:v>ID</x:v>
      </x:c>
      <x:c r="B4" s="12" t="str">
        <x:v>Proces</x:v>
      </x:c>
      <x:c r="C4" s="12" t="str">
        <x:v>Korak</x:v>
      </x:c>
      <x:c r="D4" s="12" t="str">
        <x:v>Podatek</x:v>
      </x:c>
      <x:c r="E4" s="12" t="str">
        <x:v>Izjema</x:v>
      </x:c>
      <x:c r="F4" s="12" t="str">
        <x:v>Kontrola</x:v>
      </x:c>
    </x:row>
    <x:row r="5">
      <x:c r="A5" s="16" t="str">
        <x:v>P08.1</x:v>
      </x:c>
      <x:c r="B5" s="16" t="str">
        <x:v>Zajem</x:v>
      </x:c>
      <x:c r="C5" s="16" t="str">
        <x:v>Prejem e-računa</x:v>
      </x:c>
      <x:c r="D5" s="16" t="str">
        <x:v>strukturirani podatki</x:v>
      </x:c>
      <x:c r="E5" s="16" t="str">
        <x:v>neuspešen prenos</x:v>
      </x:c>
      <x:c r="F5" s="16" t="str">
        <x:v>status + retry</x:v>
      </x:c>
    </x:row>
    <x:row r="6">
      <x:c r="A6" s="17" t="str">
        <x:v>P08.2</x:v>
      </x:c>
      <x:c r="B6" s="17" t="str">
        <x:v>Zajem</x:v>
      </x:c>
      <x:c r="C6" s="17" t="str">
        <x:v>Prejem PDF po e-pošti</x:v>
      </x:c>
      <x:c r="D6" s="17" t="str">
        <x:v>nestrukturiran PDF</x:v>
      </x:c>
      <x:c r="E6" s="17" t="str">
        <x:v>nejasna pripadnost</x:v>
      </x:c>
      <x:c r="F6" s="17" t="str">
        <x:v>namenski naslov/ID</x:v>
      </x:c>
    </x:row>
    <x:row r="7">
      <x:c r="A7" s="16" t="str">
        <x:v>P08.3</x:v>
      </x:c>
      <x:c r="B7" s="16" t="str">
        <x:v>Zajem</x:v>
      </x:c>
      <x:c r="C7" s="16" t="str">
        <x:v>Sken/fotografija</x:v>
      </x:c>
      <x:c r="D7" s="16" t="str">
        <x:v>slika</x:v>
      </x:c>
      <x:c r="E7" s="16" t="str">
        <x:v>slaba kakovost</x:v>
      </x:c>
      <x:c r="F7" s="16" t="str">
        <x:v>minimalna kakovost + zavrnitev</x:v>
      </x:c>
    </x:row>
    <x:row r="8">
      <x:c r="A8" s="17" t="str">
        <x:v>P09.1</x:v>
      </x:c>
      <x:c r="B8" s="17" t="str">
        <x:v>OCR</x:v>
      </x:c>
      <x:c r="C8" s="17" t="str">
        <x:v>Glava računa</x:v>
      </x:c>
      <x:c r="D8" s="17" t="str">
        <x:v>datum, številka, davčna</x:v>
      </x:c>
      <x:c r="E8" s="17" t="str">
        <x:v>napačna polja</x:v>
      </x:c>
      <x:c r="F8" s="17" t="str">
        <x:v>confidence prag</x:v>
      </x:c>
    </x:row>
    <x:row r="9">
      <x:c r="A9" s="16" t="str">
        <x:v>P09.2</x:v>
      </x:c>
      <x:c r="B9" s="16" t="str">
        <x:v>OCR</x:v>
      </x:c>
      <x:c r="C9" s="16" t="str">
        <x:v>Postavke računa</x:v>
      </x:c>
      <x:c r="D9" s="16" t="str">
        <x:v>vrstice</x:v>
      </x:c>
      <x:c r="E9" s="16" t="str">
        <x:v>napačni zneski/DDV</x:v>
      </x:c>
      <x:c r="F9" s="16" t="str">
        <x:v>seštevek in davčna kontrola</x:v>
      </x:c>
    </x:row>
    <x:row r="10">
      <x:c r="A10" s="17" t="str">
        <x:v>P10.1</x:v>
      </x:c>
      <x:c r="B10" s="17" t="str">
        <x:v>Validacija</x:v>
      </x:c>
      <x:c r="C10" s="17" t="str">
        <x:v>Duplikat</x:v>
      </x:c>
      <x:c r="D10" s="17" t="str">
        <x:v>hash/ključ</x:v>
      </x:c>
      <x:c r="E10" s="17" t="str">
        <x:v>dvojno knjiženje</x:v>
      </x:c>
      <x:c r="F10" s="17" t="str">
        <x:v>unikatni ključ</x:v>
      </x:c>
    </x:row>
    <x:row r="11">
      <x:c r="A11" s="16" t="str">
        <x:v>P10.2</x:v>
      </x:c>
      <x:c r="B11" s="16" t="str">
        <x:v>Validacija</x:v>
      </x:c>
      <x:c r="C11" s="16" t="str">
        <x:v>Dobavitelj</x:v>
      </x:c>
      <x:c r="D11" s="16" t="str">
        <x:v>ID partnerja</x:v>
      </x:c>
      <x:c r="E11" s="16" t="str">
        <x:v>napačen partner</x:v>
      </x:c>
      <x:c r="F11" s="16" t="str">
        <x:v>davčna/matična</x:v>
      </x:c>
    </x:row>
    <x:row r="12">
      <x:c r="A12" s="17" t="str">
        <x:v>P12.1</x:v>
      </x:c>
      <x:c r="B12" s="17" t="str">
        <x:v>Kontiranje</x:v>
      </x:c>
      <x:c r="C12" s="17" t="str">
        <x:v>Konto stroška</x:v>
      </x:c>
      <x:c r="D12" s="17" t="str">
        <x:v>predlog</x:v>
      </x:c>
      <x:c r="E12" s="17" t="str">
        <x:v>napačna klasifikacija</x:v>
      </x:c>
      <x:c r="F12" s="17" t="str">
        <x:v>pravilo + pregled izjem</x:v>
      </x:c>
    </x:row>
    <x:row r="13">
      <x:c r="A13" s="16" t="str">
        <x:v>P12.2</x:v>
      </x:c>
      <x:c r="B13" s="16" t="str">
        <x:v>Kontiranje</x:v>
      </x:c>
      <x:c r="C13" s="16" t="str">
        <x:v>Davčna koda</x:v>
      </x:c>
      <x:c r="D13" s="16" t="str">
        <x:v>DDV obravnava</x:v>
      </x:c>
      <x:c r="E13" s="16" t="str">
        <x:v>davčno tveganje</x:v>
      </x:c>
      <x:c r="F13" s="16" t="str">
        <x:v>davčno pravilo</x:v>
      </x:c>
    </x:row>
    <x:row r="14">
      <x:c r="A14" s="17" t="str">
        <x:v>P14.1</x:v>
      </x:c>
      <x:c r="B14" s="17" t="str">
        <x:v>Banka</x:v>
      </x:c>
      <x:c r="C14" s="17" t="str">
        <x:v>Uvoz izpiska</x:v>
      </x:c>
      <x:c r="D14" s="17" t="str">
        <x:v>bančne postavke</x:v>
      </x:c>
      <x:c r="E14" s="17" t="str">
        <x:v>format/duplikat</x:v>
      </x:c>
      <x:c r="F14" s="17" t="str">
        <x:v>kontrolna vsota</x:v>
      </x:c>
    </x:row>
    <x:row r="15">
      <x:c r="A15" s="16" t="str">
        <x:v>P14.2</x:v>
      </x:c>
      <x:c r="B15" s="16" t="str">
        <x:v>Banka</x:v>
      </x:c>
      <x:c r="C15" s="16" t="str">
        <x:v>Ujemanje</x:v>
      </x:c>
      <x:c r="D15" s="16" t="str">
        <x:v>plačilo-terjatev</x:v>
      </x:c>
      <x:c r="E15" s="16" t="str">
        <x:v>delna plačila</x:v>
      </x:c>
      <x:c r="F15" s="16" t="str">
        <x:v>toleranca in izjema</x:v>
      </x:c>
    </x:row>
    <x:row r="16">
      <x:c r="A16" s="17" t="str">
        <x:v>P19.1</x:v>
      </x:c>
      <x:c r="B16" s="17" t="str">
        <x:v>Plače</x:v>
      </x:c>
      <x:c r="C16" s="17" t="str">
        <x:v>Zajem ur</x:v>
      </x:c>
      <x:c r="D16" s="17" t="str">
        <x:v>čas/odsotnosti</x:v>
      </x:c>
      <x:c r="E16" s="17" t="str">
        <x:v>pozni podatki</x:v>
      </x:c>
      <x:c r="F16" s="17" t="str">
        <x:v>cut-off in potrditev</x:v>
      </x:c>
    </x:row>
    <x:row r="17">
      <x:c r="A17" s="16" t="str">
        <x:v>P19.2</x:v>
      </x:c>
      <x:c r="B17" s="16" t="str">
        <x:v>Plače</x:v>
      </x:c>
      <x:c r="C17" s="16" t="str">
        <x:v>Obračun</x:v>
      </x:c>
      <x:c r="D17" s="16" t="str">
        <x:v>bruto-neto</x:v>
      </x:c>
      <x:c r="E17" s="16" t="str">
        <x:v>napačna nastavitev</x:v>
      </x:c>
      <x:c r="F17" s="16" t="str">
        <x:v>kontrola odstopanja</x:v>
      </x:c>
    </x:row>
    <x:row r="18">
      <x:c r="A18" s="17" t="str">
        <x:v>P20.1</x:v>
      </x:c>
      <x:c r="B18" s="17" t="str">
        <x:v>Cut-off</x:v>
      </x:c>
      <x:c r="C18" s="17" t="str">
        <x:v>Opomnik</x:v>
      </x:c>
      <x:c r="D18" s="17" t="str">
        <x:v>seznam manjkajočih</x:v>
      </x:c>
      <x:c r="E18" s="17" t="str">
        <x:v>ročno pošiljanje</x:v>
      </x:c>
      <x:c r="F18" s="17" t="str">
        <x:v>avtomatski opomnik</x:v>
      </x:c>
    </x:row>
    <x:row r="19">
      <x:c r="A19" s="16" t="str">
        <x:v>P21.1</x:v>
      </x:c>
      <x:c r="B19" s="16" t="str">
        <x:v>Zaključek</x:v>
      </x:c>
      <x:c r="C19" s="16" t="str">
        <x:v>Uskladitev banke</x:v>
      </x:c>
      <x:c r="D19" s="16" t="str">
        <x:v>GL vs banka</x:v>
      </x:c>
      <x:c r="E19" s="16" t="str">
        <x:v>razlika</x:v>
      </x:c>
      <x:c r="F19" s="16" t="str">
        <x:v>kontrolna vsota</x:v>
      </x:c>
    </x:row>
    <x:row r="20">
      <x:c r="A20" s="17" t="str">
        <x:v>P21.2</x:v>
      </x:c>
      <x:c r="B20" s="17" t="str">
        <x:v>Zaključek</x:v>
      </x:c>
      <x:c r="C20" s="17" t="str">
        <x:v>Uskladitev DDV</x:v>
      </x:c>
      <x:c r="D20" s="17" t="str">
        <x:v>evidence vs GL</x:v>
      </x:c>
      <x:c r="E20" s="17" t="str">
        <x:v>razlika</x:v>
      </x:c>
      <x:c r="F20" s="17" t="str">
        <x:v>kontrolni izpis</x:v>
      </x:c>
    </x:row>
    <x:row r="21">
      <x:c r="A21" s="16" t="str">
        <x:v>P22.1</x:v>
      </x:c>
      <x:c r="B21" s="16" t="str">
        <x:v>Poročanje</x:v>
      </x:c>
      <x:c r="C21" s="16" t="str">
        <x:v>Upravljavski paket</x:v>
      </x:c>
      <x:c r="D21" s="16" t="str">
        <x:v>KPI/P&amp;L/CF</x:v>
      </x:c>
      <x:c r="E21" s="16" t="str">
        <x:v>ročna izdelava</x:v>
      </x:c>
      <x:c r="F21" s="16" t="str">
        <x:v>predloga + avtomatika</x:v>
      </x:c>
    </x:row>
    <x:row r="22">
      <x:c r="A22" s="17" t="str">
        <x:v>P26.1</x:v>
      </x:c>
      <x:c r="B22" s="17" t="str">
        <x:v>Nadzor</x:v>
      </x:c>
      <x:c r="C22" s="17" t="str">
        <x:v>Zbiranje dokazil</x:v>
      </x:c>
      <x:c r="D22" s="17" t="str">
        <x:v>dokument + sled</x:v>
      </x:c>
      <x:c r="E22" s="17" t="str">
        <x:v>počasno iskanje</x:v>
      </x:c>
      <x:c r="F22" s="17" t="str">
        <x:v>centralna hramba</x:v>
      </x:c>
    </x:row>
    <x:row r="23">
      <x:c r="A23" s="16" t="str">
        <x:v>P27.1</x:v>
      </x:c>
      <x:c r="B23" s="16" t="str">
        <x:v>Hramba</x:v>
      </x:c>
      <x:c r="C23" s="16" t="str">
        <x:v>Retencija</x:v>
      </x:c>
      <x:c r="D23" s="16" t="str">
        <x:v>rok in klasifikacija</x:v>
      </x:c>
      <x:c r="E23" s="16" t="str">
        <x:v>prezgodnji izbris</x:v>
      </x:c>
      <x:c r="F23" s="16" t="str">
        <x:v>politika hrambe</x:v>
      </x:c>
    </x:row>
    <x:row r="24">
      <x:c r="A24" s="17" t="str">
        <x:v>P28.1</x:v>
      </x:c>
      <x:c r="B24" s="17" t="str">
        <x:v>Prenos</x:v>
      </x:c>
      <x:c r="C24" s="17" t="str">
        <x:v>Izvoz podatkov</x:v>
      </x:c>
      <x:c r="D24" s="17" t="str">
        <x:v>GL, dokumenti, sled</x:v>
      </x:c>
      <x:c r="E24" s="17" t="str">
        <x:v>vendor lock-in</x:v>
      </x:c>
      <x:c r="F24" s="17" t="str">
        <x:v>test izvoza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18" hidden="0" customWidth="1"/>
    <x:col min="4" max="4" width="12" hidden="0" customWidth="1"/>
    <x:col min="5" max="5" width="10" hidden="0" customWidth="1"/>
    <x:col min="6" max="6" width="8" hidden="0" customWidth="1"/>
    <x:col min="7" max="7" width="10" hidden="0" customWidth="1"/>
    <x:col min="8" max="8" width="24" hidden="0" customWidth="1"/>
    <x:col min="9" max="9" width="24" hidden="0" customWidth="1"/>
    <x:col min="10" max="10" width="10" hidden="0" customWidth="1"/>
  </x:cols>
  <x:sheetData>
    <x:row r="1" ht="30" customHeight="1">
      <x:c r="A1" s="3" t="str">
        <x:v>Katalog 25 bolečin</x:v>
      </x:c>
    </x:row>
    <x:row r="2" ht="34" customHeight="1">
      <x:c r="A2" s="7" t="str">
        <x:v>Prioriteta = frekvenca + učinek + fit; ocene so raziskovalne in zahtevajo lokalno validacijo.</x:v>
      </x:c>
    </x:row>
    <x:row r="4" ht="28" customHeight="1">
      <x:c r="A4" s="12" t="str">
        <x:v>ID</x:v>
      </x:c>
      <x:c r="B4" s="12" t="str">
        <x:v>Bolečina</x:v>
      </x:c>
      <x:c r="C4" s="12" t="str">
        <x:v>Domena</x:v>
      </x:c>
      <x:c r="D4" s="12" t="str">
        <x:v>Frekvenca</x:v>
      </x:c>
      <x:c r="E4" s="12" t="str">
        <x:v>Učinek</x:v>
      </x:c>
      <x:c r="F4" s="12" t="str">
        <x:v>Fit</x:v>
      </x:c>
      <x:c r="G4" s="12" t="str">
        <x:v>Prednost</x:v>
      </x:c>
      <x:c r="H4" s="12" t="str">
        <x:v>Finančni vpliv</x:v>
      </x:c>
      <x:c r="I4" s="12" t="str">
        <x:v>KPI</x:v>
      </x:c>
      <x:c r="J4" s="12" t="str">
        <x:v>Dokaz</x:v>
      </x:c>
    </x:row>
    <x:row r="5">
      <x:c r="A5" s="16" t="str">
        <x:v>B01</x:v>
      </x:c>
      <x:c r="B5" s="16" t="str">
        <x:v>Pozni/manjkajoči dokumenti</x:v>
      </x:c>
      <x:c r="C5" s="16" t="str">
        <x:v>Stranka/proces</x:v>
      </x:c>
      <x:c r="D5" s="16" t="n">
        <x:v>5</x:v>
      </x:c>
      <x:c r="E5" s="16" t="n">
        <x:v>5</x:v>
      </x:c>
      <x:c r="F5" s="16" t="n">
        <x:v>4</x:v>
      </x:c>
      <x:c r="G5" s="16" t="n">
        <x:v>14</x:v>
      </x:c>
      <x:c r="H5" s="16" t="str">
        <x:v>nadure, zamude</x:v>
      </x:c>
      <x:c r="I5" s="16" t="str">
        <x:v>% do cut-offa</x:v>
      </x:c>
      <x:c r="J5" s="16" t="str">
        <x:v>A/B</x:v>
      </x:c>
    </x:row>
    <x:row r="6">
      <x:c r="A6" s="17" t="str">
        <x:v>B02</x:v>
      </x:c>
      <x:c r="B6" s="17" t="str">
        <x:v>Več vhodnih kanalov</x:v>
      </x:c>
      <x:c r="C6" s="17" t="str">
        <x:v>Proces</x:v>
      </x:c>
      <x:c r="D6" s="17" t="n">
        <x:v>5</x:v>
      </x:c>
      <x:c r="E6" s="17" t="n">
        <x:v>4</x:v>
      </x:c>
      <x:c r="F6" s="17" t="n">
        <x:v>5</x:v>
      </x:c>
      <x:c r="G6" s="17" t="n">
        <x:v>14</x:v>
      </x:c>
      <x:c r="H6" s="17" t="str">
        <x:v>preklapljanje, izgube</x:v>
      </x:c>
      <x:c r="I6" s="17" t="str">
        <x:v>% strukturiranih vhodov</x:v>
      </x:c>
      <x:c r="J6" s="17" t="str">
        <x:v>B</x:v>
      </x:c>
    </x:row>
    <x:row r="7">
      <x:c r="A7" s="16" t="str">
        <x:v>B03</x:v>
      </x:c>
      <x:c r="B7" s="16" t="str">
        <x:v>Ročni prepis računov</x:v>
      </x:c>
      <x:c r="C7" s="16" t="str">
        <x:v>Proces</x:v>
      </x:c>
      <x:c r="D7" s="16" t="n">
        <x:v>5</x:v>
      </x:c>
      <x:c r="E7" s="16" t="n">
        <x:v>4</x:v>
      </x:c>
      <x:c r="F7" s="16" t="n">
        <x:v>5</x:v>
      </x:c>
      <x:c r="G7" s="16" t="n">
        <x:v>14</x:v>
      </x:c>
      <x:c r="H7" s="16" t="str">
        <x:v>strošek ure, napake</x:v>
      </x:c>
      <x:c r="I7" s="16" t="str">
        <x:v>min/dokument</x:v>
      </x:c>
      <x:c r="J7" s="16" t="str">
        <x:v>B</x:v>
      </x:c>
    </x:row>
    <x:row r="8">
      <x:c r="A8" s="17" t="str">
        <x:v>B04</x:v>
      </x:c>
      <x:c r="B8" s="17" t="str">
        <x:v>Neenotni postopki zaposlenih</x:v>
      </x:c>
      <x:c r="C8" s="17" t="str">
        <x:v>Organizacija</x:v>
      </x:c>
      <x:c r="D8" s="17" t="n">
        <x:v>4</x:v>
      </x:c>
      <x:c r="E8" s="17" t="n">
        <x:v>5</x:v>
      </x:c>
      <x:c r="F8" s="17" t="n">
        <x:v>4</x:v>
      </x:c>
      <x:c r="G8" s="17" t="n">
        <x:v>13</x:v>
      </x:c>
      <x:c r="H8" s="17" t="str">
        <x:v>nadzor, nadomeščanje</x:v>
      </x:c>
      <x:c r="I8" s="17" t="str">
        <x:v>odstopanja postopka</x:v>
      </x:c>
      <x:c r="J8" s="17" t="str">
        <x:v>H</x:v>
      </x:c>
    </x:row>
    <x:row r="9">
      <x:c r="A9" s="16" t="str">
        <x:v>B05</x:v>
      </x:c>
      <x:c r="B9" s="16" t="str">
        <x:v>Nepregledne izjeme/naloge</x:v>
      </x:c>
      <x:c r="C9" s="16" t="str">
        <x:v>Workflow</x:v>
      </x:c>
      <x:c r="D9" s="16" t="n">
        <x:v>4</x:v>
      </x:c>
      <x:c r="E9" s="16" t="n">
        <x:v>5</x:v>
      </x:c>
      <x:c r="F9" s="16" t="n">
        <x:v>4</x:v>
      </x:c>
      <x:c r="G9" s="16" t="n">
        <x:v>13</x:v>
      </x:c>
      <x:c r="H9" s="16" t="str">
        <x:v>zamude, eskalacije</x:v>
      </x:c>
      <x:c r="I9" s="16" t="str">
        <x:v>stare odprte naloge</x:v>
      </x:c>
      <x:c r="J9" s="16" t="str">
        <x:v>H</x:v>
      </x:c>
    </x:row>
    <x:row r="10">
      <x:c r="A10" s="17" t="str">
        <x:v>B06</x:v>
      </x:c>
      <x:c r="B10" s="17" t="str">
        <x:v>Ročno opominjanje</x:v>
      </x:c>
      <x:c r="C10" s="17" t="str">
        <x:v>Komunikacija</x:v>
      </x:c>
      <x:c r="D10" s="17" t="n">
        <x:v>5</x:v>
      </x:c>
      <x:c r="E10" s="17" t="n">
        <x:v>3</x:v>
      </x:c>
      <x:c r="F10" s="17" t="n">
        <x:v>5</x:v>
      </x:c>
      <x:c r="G10" s="17" t="n">
        <x:v>13</x:v>
      </x:c>
      <x:c r="H10" s="17" t="str">
        <x:v>neproduktivne ure</x:v>
      </x:c>
      <x:c r="I10" s="17" t="str">
        <x:v>ure opominjanja</x:v>
      </x:c>
      <x:c r="J10" s="17" t="str">
        <x:v>B</x:v>
      </x:c>
    </x:row>
    <x:row r="11">
      <x:c r="A11" s="16" t="str">
        <x:v>B07</x:v>
      </x:c>
      <x:c r="B11" s="16" t="str">
        <x:v>Popravki slabih vhodov</x:v>
      </x:c>
      <x:c r="C11" s="16" t="str">
        <x:v>Kakovost</x:v>
      </x:c>
      <x:c r="D11" s="16" t="n">
        <x:v>4</x:v>
      </x:c>
      <x:c r="E11" s="16" t="n">
        <x:v>5</x:v>
      </x:c>
      <x:c r="F11" s="16" t="n">
        <x:v>4</x:v>
      </x:c>
      <x:c r="G11" s="16" t="n">
        <x:v>13</x:v>
      </x:c>
      <x:c r="H11" s="16" t="str">
        <x:v>rework, tveganje</x:v>
      </x:c>
      <x:c r="I11" s="16" t="str">
        <x:v>izjeme/100 docs</x:v>
      </x:c>
      <x:c r="J11" s="16" t="str">
        <x:v>H</x:v>
      </x:c>
    </x:row>
    <x:row r="12">
      <x:c r="A12" s="17" t="str">
        <x:v>B08</x:v>
      </x:c>
      <x:c r="B12" s="17" t="str">
        <x:v>Neznana donosnost stranke</x:v>
      </x:c>
      <x:c r="C12" s="17" t="str">
        <x:v>Ekonomika</x:v>
      </x:c>
      <x:c r="D12" s="17" t="n">
        <x:v>4</x:v>
      </x:c>
      <x:c r="E12" s="17" t="n">
        <x:v>5</x:v>
      </x:c>
      <x:c r="F12" s="17" t="n">
        <x:v>3</x:v>
      </x:c>
      <x:c r="G12" s="17" t="n">
        <x:v>12</x:v>
      </x:c>
      <x:c r="H12" s="17" t="str">
        <x:v>subvencioniranje</x:v>
      </x:c>
      <x:c r="I12" s="17" t="str">
        <x:v>prispevna marža</x:v>
      </x:c>
      <x:c r="J12" s="17" t="str">
        <x:v>H</x:v>
      </x:c>
    </x:row>
    <x:row r="13">
      <x:c r="A13" s="16" t="str">
        <x:v>B09</x:v>
      </x:c>
      <x:c r="B13" s="16" t="str">
        <x:v>Znanje v glavi posameznika</x:v>
      </x:c>
      <x:c r="C13" s="16" t="str">
        <x:v>Organizacija</x:v>
      </x:c>
      <x:c r="D13" s="16" t="n">
        <x:v>4</x:v>
      </x:c>
      <x:c r="E13" s="16" t="n">
        <x:v>5</x:v>
      </x:c>
      <x:c r="F13" s="16" t="n">
        <x:v>3</x:v>
      </x:c>
      <x:c r="G13" s="16" t="n">
        <x:v>12</x:v>
      </x:c>
      <x:c r="H13" s="16" t="str">
        <x:v>ključna oseba</x:v>
      </x:c>
      <x:c r="I13" s="16" t="str">
        <x:v>čas nadomeščanja</x:v>
      </x:c>
      <x:c r="J13" s="16" t="str">
        <x:v>H</x:v>
      </x:c>
    </x:row>
    <x:row r="14">
      <x:c r="A14" s="17" t="str">
        <x:v>B10</x:v>
      </x:c>
      <x:c r="B14" s="17" t="str">
        <x:v>Ročno usklajevanje banke</x:v>
      </x:c>
      <x:c r="C14" s="17" t="str">
        <x:v>Finance</x:v>
      </x:c>
      <x:c r="D14" s="17" t="n">
        <x:v>4</x:v>
      </x:c>
      <x:c r="E14" s="17" t="n">
        <x:v>4</x:v>
      </x:c>
      <x:c r="F14" s="17" t="n">
        <x:v>4</x:v>
      </x:c>
      <x:c r="G14" s="17" t="n">
        <x:v>12</x:v>
      </x:c>
      <x:c r="H14" s="17" t="str">
        <x:v>ure, napake</x:v>
      </x:c>
      <x:c r="I14" s="17" t="str">
        <x:v>% auto-match</x:v>
      </x:c>
      <x:c r="J14" s="17" t="str">
        <x:v>H</x:v>
      </x:c>
    </x:row>
    <x:row r="15">
      <x:c r="A15" s="16" t="str">
        <x:v>B11</x:v>
      </x:c>
      <x:c r="B15" s="16" t="str">
        <x:v>Ročni Exceli za poročanje</x:v>
      </x:c>
      <x:c r="C15" s="16" t="str">
        <x:v>Poročanje</x:v>
      </x:c>
      <x:c r="D15" s="16" t="n">
        <x:v>4</x:v>
      </x:c>
      <x:c r="E15" s="16" t="n">
        <x:v>4</x:v>
      </x:c>
      <x:c r="F15" s="16" t="n">
        <x:v>4</x:v>
      </x:c>
      <x:c r="G15" s="16" t="n">
        <x:v>12</x:v>
      </x:c>
      <x:c r="H15" s="16" t="str">
        <x:v>ure, verzije</x:v>
      </x:c>
      <x:c r="I15" s="16" t="str">
        <x:v>čas do poročila</x:v>
      </x:c>
      <x:c r="J15" s="16" t="str">
        <x:v>H</x:v>
      </x:c>
    </x:row>
    <x:row r="16">
      <x:c r="A16" s="17" t="str">
        <x:v>B12</x:v>
      </x:c>
      <x:c r="B16" s="17" t="str">
        <x:v>Nejasen obseg pavšala</x:v>
      </x:c>
      <x:c r="C16" s="17" t="str">
        <x:v>Komerciala</x:v>
      </x:c>
      <x:c r="D16" s="17" t="n">
        <x:v>4</x:v>
      </x:c>
      <x:c r="E16" s="17" t="n">
        <x:v>5</x:v>
      </x:c>
      <x:c r="F16" s="17" t="n">
        <x:v>2</x:v>
      </x:c>
      <x:c r="G16" s="17" t="n">
        <x:v>11</x:v>
      </x:c>
      <x:c r="H16" s="17" t="str">
        <x:v>erozija marže</x:v>
      </x:c>
      <x:c r="I16" s="17" t="str">
        <x:v>dela izven obsega</x:v>
      </x:c>
      <x:c r="J16" s="17" t="str">
        <x:v>H</x:v>
      </x:c>
    </x:row>
    <x:row r="17">
      <x:c r="A17" s="16" t="str">
        <x:v>B13</x:v>
      </x:c>
      <x:c r="B17" s="16" t="str">
        <x:v>Počasno uvajanje zaposlenih</x:v>
      </x:c>
      <x:c r="C17" s="16" t="str">
        <x:v>Ljudje</x:v>
      </x:c>
      <x:c r="D17" s="16" t="n">
        <x:v>3</x:v>
      </x:c>
      <x:c r="E17" s="16" t="n">
        <x:v>4</x:v>
      </x:c>
      <x:c r="F17" s="16" t="n">
        <x:v>4</x:v>
      </x:c>
      <x:c r="G17" s="16" t="n">
        <x:v>11</x:v>
      </x:c>
      <x:c r="H17" s="16" t="str">
        <x:v>zamujena kapaciteta</x:v>
      </x:c>
      <x:c r="I17" s="16" t="str">
        <x:v>dnevi do produktivnosti</x:v>
      </x:c>
      <x:c r="J17" s="16" t="str">
        <x:v>H</x:v>
      </x:c>
    </x:row>
    <x:row r="18">
      <x:c r="A18" s="17" t="str">
        <x:v>B14</x:v>
      </x:c>
      <x:c r="B18" s="17" t="str">
        <x:v>Težko nadomeščanje</x:v>
      </x:c>
      <x:c r="C18" s="17" t="str">
        <x:v>Ljudje</x:v>
      </x:c>
      <x:c r="D18" s="17" t="n">
        <x:v>3</x:v>
      </x:c>
      <x:c r="E18" s="17" t="n">
        <x:v>5</x:v>
      </x:c>
      <x:c r="F18" s="17" t="n">
        <x:v>3</x:v>
      </x:c>
      <x:c r="G18" s="17" t="n">
        <x:v>11</x:v>
      </x:c>
      <x:c r="H18" s="17" t="str">
        <x:v>operativna krhkost</x:v>
      </x:c>
      <x:c r="I18" s="17" t="str">
        <x:v>nepokrite naloge</x:v>
      </x:c>
      <x:c r="J18" s="17" t="str">
        <x:v>H</x:v>
      </x:c>
    </x:row>
    <x:row r="19">
      <x:c r="A19" s="16" t="str">
        <x:v>B15</x:v>
      </x:c>
      <x:c r="B19" s="16" t="str">
        <x:v>Zadnje spremembe pri plačah</x:v>
      </x:c>
      <x:c r="C19" s="16" t="str">
        <x:v>Plače</x:v>
      </x:c>
      <x:c r="D19" s="16" t="n">
        <x:v>4</x:v>
      </x:c>
      <x:c r="E19" s="16" t="n">
        <x:v>5</x:v>
      </x:c>
      <x:c r="F19" s="16" t="n">
        <x:v>2</x:v>
      </x:c>
      <x:c r="G19" s="16" t="n">
        <x:v>11</x:v>
      </x:c>
      <x:c r="H19" s="16" t="str">
        <x:v>popravki in stres</x:v>
      </x:c>
      <x:c r="I19" s="16" t="str">
        <x:v>pozni vhodi</x:v>
      </x:c>
      <x:c r="J19" s="16" t="str">
        <x:v>H</x:v>
      </x:c>
    </x:row>
    <x:row r="20">
      <x:c r="A20" s="17" t="str">
        <x:v>B16</x:v>
      </x:c>
      <x:c r="B20" s="17" t="str">
        <x:v>Podvojeni dokumenti</x:v>
      </x:c>
      <x:c r="C20" s="17" t="str">
        <x:v>Dokumenti</x:v>
      </x:c>
      <x:c r="D20" s="17" t="n">
        <x:v>3</x:v>
      </x:c>
      <x:c r="E20" s="17" t="n">
        <x:v>4</x:v>
      </x:c>
      <x:c r="F20" s="17" t="n">
        <x:v>4</x:v>
      </x:c>
      <x:c r="G20" s="17" t="n">
        <x:v>11</x:v>
      </x:c>
      <x:c r="H20" s="17" t="str">
        <x:v>napačne obveznosti</x:v>
      </x:c>
      <x:c r="I20" s="17" t="str">
        <x:v>duplikati/1000</x:v>
      </x:c>
      <x:c r="J20" s="17" t="str">
        <x:v>H</x:v>
      </x:c>
    </x:row>
    <x:row r="21">
      <x:c r="A21" s="16" t="str">
        <x:v>B17</x:v>
      </x:c>
      <x:c r="B21" s="16" t="str">
        <x:v>Razpršena komunikacija</x:v>
      </x:c>
      <x:c r="C21" s="16" t="str">
        <x:v>Komunikacija</x:v>
      </x:c>
      <x:c r="D21" s="16" t="n">
        <x:v>4</x:v>
      </x:c>
      <x:c r="E21" s="16" t="n">
        <x:v>3</x:v>
      </x:c>
      <x:c r="F21" s="16" t="n">
        <x:v>4</x:v>
      </x:c>
      <x:c r="G21" s="16" t="n">
        <x:v>11</x:v>
      </x:c>
      <x:c r="H21" s="16" t="str">
        <x:v>iskanje, nesporazumi</x:v>
      </x:c>
      <x:c r="I21" s="16" t="str">
        <x:v>čas odziva</x:v>
      </x:c>
      <x:c r="J21" s="16" t="str">
        <x:v>B</x:v>
      </x:c>
    </x:row>
    <x:row r="22">
      <x:c r="A22" s="17" t="str">
        <x:v>B18</x:v>
      </x:c>
      <x:c r="B22" s="17" t="str">
        <x:v>Slaba migracija začetnih stanj</x:v>
      </x:c>
      <x:c r="C22" s="17" t="str">
        <x:v>Uvedba</x:v>
      </x:c>
      <x:c r="D22" s="17" t="n">
        <x:v>3</x:v>
      </x:c>
      <x:c r="E22" s="17" t="n">
        <x:v>5</x:v>
      </x:c>
      <x:c r="F22" s="17" t="n">
        <x:v>3</x:v>
      </x:c>
      <x:c r="G22" s="17" t="n">
        <x:v>11</x:v>
      </x:c>
      <x:c r="H22" s="17" t="str">
        <x:v>popravki, zamuda</x:v>
      </x:c>
      <x:c r="I22" s="17" t="str">
        <x:v>uskladitvene razlike</x:v>
      </x:c>
      <x:c r="J22" s="17" t="str">
        <x:v>B</x:v>
      </x:c>
    </x:row>
    <x:row r="23">
      <x:c r="A23" s="16" t="str">
        <x:v>B19</x:v>
      </x:c>
      <x:c r="B23" s="16" t="str">
        <x:v>Premalo časa za svetovanje</x:v>
      </x:c>
      <x:c r="C23" s="16" t="str">
        <x:v>Strategija</x:v>
      </x:c>
      <x:c r="D23" s="16" t="n">
        <x:v>4</x:v>
      </x:c>
      <x:c r="E23" s="16" t="n">
        <x:v>4</x:v>
      </x:c>
      <x:c r="F23" s="16" t="n">
        <x:v>3</x:v>
      </x:c>
      <x:c r="G23" s="16" t="n">
        <x:v>11</x:v>
      </x:c>
      <x:c r="H23" s="16" t="str">
        <x:v>izgubljen prihodek</x:v>
      </x:c>
      <x:c r="I23" s="16" t="str">
        <x:v>svetovalne ure</x:v>
      </x:c>
      <x:c r="J23" s="16" t="str">
        <x:v>B</x:v>
      </x:c>
    </x:row>
    <x:row r="24">
      <x:c r="A24" s="17" t="str">
        <x:v>B20</x:v>
      </x:c>
      <x:c r="B24" s="17" t="str">
        <x:v>Nejasna kontrolna odgovornost</x:v>
      </x:c>
      <x:c r="C24" s="17" t="str">
        <x:v>Upravljanje</x:v>
      </x:c>
      <x:c r="D24" s="17" t="n">
        <x:v>3</x:v>
      </x:c>
      <x:c r="E24" s="17" t="n">
        <x:v>5</x:v>
      </x:c>
      <x:c r="F24" s="17" t="n">
        <x:v>3</x:v>
      </x:c>
      <x:c r="G24" s="17" t="n">
        <x:v>11</x:v>
      </x:c>
      <x:c r="H24" s="17" t="str">
        <x:v>spregled napake</x:v>
      </x:c>
      <x:c r="I24" s="17" t="str">
        <x:v>kontrole brez lastnika</x:v>
      </x:c>
      <x:c r="J24" s="17" t="str">
        <x:v>H</x:v>
      </x:c>
    </x:row>
    <x:row r="25">
      <x:c r="A25" s="16" t="str">
        <x:v>B21</x:v>
      </x:c>
      <x:c r="B25" s="16" t="str">
        <x:v>Nepovezani programi strank</x:v>
      </x:c>
      <x:c r="C25" s="16" t="str">
        <x:v>Tehnologija</x:v>
      </x:c>
      <x:c r="D25" s="16" t="n">
        <x:v>4</x:v>
      </x:c>
      <x:c r="E25" s="16" t="n">
        <x:v>4</x:v>
      </x:c>
      <x:c r="F25" s="16" t="n">
        <x:v>2</x:v>
      </x:c>
      <x:c r="G25" s="16" t="n">
        <x:v>10</x:v>
      </x:c>
      <x:c r="H25" s="16" t="str">
        <x:v>ročen prenos</x:v>
      </x:c>
      <x:c r="I25" s="16" t="str">
        <x:v>ročni prenosi/mesec</x:v>
      </x:c>
      <x:c r="J25" s="16" t="str">
        <x:v>H</x:v>
      </x:c>
    </x:row>
    <x:row r="26">
      <x:c r="A26" s="17" t="str">
        <x:v>B22</x:v>
      </x:c>
      <x:c r="B26" s="17" t="str">
        <x:v>Nepredvidljiv TCO</x:v>
      </x:c>
      <x:c r="C26" s="17" t="str">
        <x:v>Komerciala</x:v>
      </x:c>
      <x:c r="D26" s="17" t="n">
        <x:v>3</x:v>
      </x:c>
      <x:c r="E26" s="17" t="n">
        <x:v>4</x:v>
      </x:c>
      <x:c r="F26" s="17" t="n">
        <x:v>3</x:v>
      </x:c>
      <x:c r="G26" s="17" t="n">
        <x:v>10</x:v>
      </x:c>
      <x:c r="H26" s="17" t="str">
        <x:v>prekoračitev proračuna</x:v>
      </x:c>
      <x:c r="I26" s="17" t="str">
        <x:v>odstopanje TCO</x:v>
      </x:c>
      <x:c r="J26" s="17" t="str">
        <x:v>H</x:v>
      </x:c>
    </x:row>
    <x:row r="27">
      <x:c r="A27" s="16" t="str">
        <x:v>B23</x:v>
      </x:c>
      <x:c r="B27" s="16" t="str">
        <x:v>Različna zrelost strank</x:v>
      </x:c>
      <x:c r="C27" s="16" t="str">
        <x:v>Stranka</x:v>
      </x:c>
      <x:c r="D27" s="16" t="n">
        <x:v>5</x:v>
      </x:c>
      <x:c r="E27" s="16" t="n">
        <x:v>4</x:v>
      </x:c>
      <x:c r="F27" s="16" t="n">
        <x:v>1</x:v>
      </x:c>
      <x:c r="G27" s="16" t="n">
        <x:v>10</x:v>
      </x:c>
      <x:c r="H27" s="16" t="str">
        <x:v>neenoten tok</x:v>
      </x:c>
      <x:c r="I27" s="16" t="str">
        <x:v>sprejetje po stranki</x:v>
      </x:c>
      <x:c r="J27" s="16" t="str">
        <x:v>B</x:v>
      </x:c>
    </x:row>
    <x:row r="28">
      <x:c r="A28" s="17" t="str">
        <x:v>B24</x:v>
      </x:c>
      <x:c r="B28" s="17" t="str">
        <x:v>Pooblastila in dostopi</x:v>
      </x:c>
      <x:c r="C28" s="17" t="str">
        <x:v>Varnost</x:v>
      </x:c>
      <x:c r="D28" s="17" t="n">
        <x:v>3</x:v>
      </x:c>
      <x:c r="E28" s="17" t="n">
        <x:v>4</x:v>
      </x:c>
      <x:c r="F28" s="17" t="n">
        <x:v>3</x:v>
      </x:c>
      <x:c r="G28" s="17" t="n">
        <x:v>10</x:v>
      </x:c>
      <x:c r="H28" s="17" t="str">
        <x:v>zamuda/zloraba</x:v>
      </x:c>
      <x:c r="I28" s="17" t="str">
        <x:v>neaktivni dostopi</x:v>
      </x:c>
      <x:c r="J28" s="17" t="str">
        <x:v>A</x:v>
      </x:c>
    </x:row>
    <x:row r="29">
      <x:c r="A29" s="16" t="str">
        <x:v>B25</x:v>
      </x:c>
      <x:c r="B29" s="16" t="str">
        <x:v>AML/GDPR/revizijska sled</x:v>
      </x:c>
      <x:c r="C29" s="16" t="str">
        <x:v>Skladnost</x:v>
      </x:c>
      <x:c r="D29" s="16" t="n">
        <x:v>3</x:v>
      </x:c>
      <x:c r="E29" s="16" t="n">
        <x:v>5</x:v>
      </x:c>
      <x:c r="F29" s="16" t="n">
        <x:v>2</x:v>
      </x:c>
      <x:c r="G29" s="16" t="n">
        <x:v>10</x:v>
      </x:c>
      <x:c r="H29" s="16" t="str">
        <x:v>kazen, reputacija</x:v>
      </x:c>
      <x:c r="I29" s="16" t="str">
        <x:v>nepopolne kontrole</x:v>
      </x:c>
      <x:c r="J29" s="16" t="str">
        <x:v>A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38" hidden="0" customWidth="1"/>
    <x:col min="4" max="4" width="12" hidden="0" customWidth="1"/>
    <x:col min="5" max="5" width="14" hidden="0" customWidth="1"/>
    <x:col min="6" max="6" width="22" hidden="0" customWidth="1"/>
    <x:col min="7" max="7" width="32" hidden="0" customWidth="1"/>
    <x:col min="8" max="8" width="10" hidden="0" customWidth="1"/>
  </x:cols>
  <x:sheetData>
    <x:row r="1" ht="30" customHeight="1">
      <x:c r="A1" s="3" t="str">
        <x:v>KPI slovar</x:v>
      </x:c>
    </x:row>
    <x:row r="2" ht="34" customHeight="1">
      <x:c r="A2" s="7" t="str">
        <x:v>Pragi brez zunanjega vira so diagnostične delovne predpostavke.</x:v>
      </x:c>
    </x:row>
    <x:row r="4" ht="28" customHeight="1">
      <x:c r="A4" s="12" t="str">
        <x:v>ID</x:v>
      </x:c>
      <x:c r="B4" s="12" t="str">
        <x:v>KPI</x:v>
      </x:c>
      <x:c r="C4" s="12" t="str">
        <x:v>Formula</x:v>
      </x:c>
      <x:c r="D4" s="12" t="str">
        <x:v>Enota</x:v>
      </x:c>
      <x:c r="E4" s="12" t="str">
        <x:v>Frekvenca</x:v>
      </x:c>
      <x:c r="F4" s="12" t="str">
        <x:v>Dimenzije</x:v>
      </x:c>
      <x:c r="G4" s="12" t="str">
        <x:v>Benchmark/cilj</x:v>
      </x:c>
      <x:c r="H4" s="12" t="str">
        <x:v>Dokaz</x:v>
      </x:c>
    </x:row>
    <x:row r="5">
      <x:c r="A5" s="16" t="str">
        <x:v>K01</x:v>
      </x:c>
      <x:c r="B5" s="16" t="str">
        <x:v>Dokumenti do cut-offa</x:v>
      </x:c>
      <x:c r="C5" s="16" t="str">
        <x:v>pravočasni / vsi dokumenti</x:v>
      </x:c>
      <x:c r="D5" s="16" t="str">
        <x:v>%</x:v>
      </x:c>
      <x:c r="E5" s="16" t="str">
        <x:v>mesečno</x:v>
      </x:c>
      <x:c r="F5" s="16" t="str">
        <x:v>stranka, segment</x:v>
      </x:c>
      <x:c r="G5" s="16" t="str">
        <x:v>&gt;=90% delovni zeleni prag</x:v>
      </x:c>
      <x:c r="H5" s="16" t="str">
        <x:v>H</x:v>
      </x:c>
    </x:row>
    <x:row r="6">
      <x:c r="A6" s="17" t="str">
        <x:v>K02</x:v>
      </x:c>
      <x:c r="B6" s="17" t="str">
        <x:v>Strukturirani vhodi</x:v>
      </x:c>
      <x:c r="C6" s="17" t="str">
        <x:v>e-račun + portal + API / vsi</x:v>
      </x:c>
      <x:c r="D6" s="17" t="str">
        <x:v>%</x:v>
      </x:c>
      <x:c r="E6" s="17" t="str">
        <x:v>mesečno</x:v>
      </x:c>
      <x:c r="F6" s="17" t="str">
        <x:v>kanal, stranka</x:v>
      </x:c>
      <x:c r="G6" s="17" t="str">
        <x:v>&gt;=80% delovni zeleni prag</x:v>
      </x:c>
      <x:c r="H6" s="17" t="str">
        <x:v>H</x:v>
      </x:c>
    </x:row>
    <x:row r="7">
      <x:c r="A7" s="16" t="str">
        <x:v>K03</x:v>
      </x:c>
      <x:c r="B7" s="16" t="str">
        <x:v>Čas obdelave dokumenta</x:v>
      </x:c>
      <x:c r="C7" s="16" t="str">
        <x:v>aktivne minute / dokument</x:v>
      </x:c>
      <x:c r="D7" s="16" t="str">
        <x:v>min</x:v>
      </x:c>
      <x:c r="E7" s="16" t="str">
        <x:v>tedensko</x:v>
      </x:c>
      <x:c r="F7" s="16" t="str">
        <x:v>tip dokumenta</x:v>
      </x:c>
      <x:c r="G7" s="16" t="str">
        <x:v>interni kvartili</x:v>
      </x:c>
      <x:c r="H7" s="16" t="str">
        <x:v>H</x:v>
      </x:c>
    </x:row>
    <x:row r="8">
      <x:c r="A8" s="17" t="str">
        <x:v>K04</x:v>
      </x:c>
      <x:c r="B8" s="17" t="str">
        <x:v>OCR brez popravka</x:v>
      </x:c>
      <x:c r="C8" s="17" t="str">
        <x:v>pravilno prepoznani / vsi OCR</x:v>
      </x:c>
      <x:c r="D8" s="17" t="str">
        <x:v>%</x:v>
      </x:c>
      <x:c r="E8" s="17" t="str">
        <x:v>tedensko</x:v>
      </x:c>
      <x:c r="F8" s="17" t="str">
        <x:v>polje, dobavitelj</x:v>
      </x:c>
      <x:c r="G8" s="17" t="str">
        <x:v>rastoč trend</x:v>
      </x:c>
      <x:c r="H8" s="17" t="str">
        <x:v>H</x:v>
      </x:c>
    </x:row>
    <x:row r="9">
      <x:c r="A9" s="16" t="str">
        <x:v>K05</x:v>
      </x:c>
      <x:c r="B9" s="16" t="str">
        <x:v>Avtomatsko knjiženje</x:v>
      </x:c>
      <x:c r="C9" s="16" t="str">
        <x:v>avtomatsko pravilne / vse</x:v>
      </x:c>
      <x:c r="D9" s="16" t="str">
        <x:v>%</x:v>
      </x:c>
      <x:c r="E9" s="16" t="str">
        <x:v>mesečno</x:v>
      </x:c>
      <x:c r="F9" s="16" t="str">
        <x:v>stranka, pravilo</x:v>
      </x:c>
      <x:c r="G9" s="16" t="str">
        <x:v>&gt;=70% po stabilizaciji</x:v>
      </x:c>
      <x:c r="H9" s="16" t="str">
        <x:v>H</x:v>
      </x:c>
    </x:row>
    <x:row r="10">
      <x:c r="A10" s="17" t="str">
        <x:v>K06</x:v>
      </x:c>
      <x:c r="B10" s="17" t="str">
        <x:v>Izjeme na 100 dokumentov</x:v>
      </x:c>
      <x:c r="C10" s="17" t="str">
        <x:v>izjeme / dokumenti x 100</x:v>
      </x:c>
      <x:c r="D10" s="17" t="str">
        <x:v>#</x:v>
      </x:c>
      <x:c r="E10" s="17" t="str">
        <x:v>tedensko</x:v>
      </x:c>
      <x:c r="F10" s="17" t="str">
        <x:v>vzrok</x:v>
      </x:c>
      <x:c r="G10" s="17" t="str">
        <x:v>padajoč 3M trend</x:v>
      </x:c>
      <x:c r="H10" s="17" t="str">
        <x:v>H</x:v>
      </x:c>
    </x:row>
    <x:row r="11">
      <x:c r="A11" s="16" t="str">
        <x:v>K07</x:v>
      </x:c>
      <x:c r="B11" s="16" t="str">
        <x:v>Dnevi do zaključka</x:v>
      </x:c>
      <x:c r="C11" s="16" t="str">
        <x:v>datum zaključka - konec meseca</x:v>
      </x:c>
      <x:c r="D11" s="16" t="str">
        <x:v>dni</x:v>
      </x:c>
      <x:c r="E11" s="16" t="str">
        <x:v>mesečno</x:v>
      </x:c>
      <x:c r="F11" s="16" t="str">
        <x:v>tip stranke</x:v>
      </x:c>
      <x:c r="G11" s="16" t="str">
        <x:v>segmentni cilj</x:v>
      </x:c>
      <x:c r="H11" s="16" t="str">
        <x:v>H</x:v>
      </x:c>
    </x:row>
    <x:row r="12">
      <x:c r="A12" s="17" t="str">
        <x:v>K08</x:v>
      </x:c>
      <x:c r="B12" s="17" t="str">
        <x:v>Naloge po roku</x:v>
      </x:c>
      <x:c r="C12" s="17" t="str">
        <x:v>zamujene / vse naloge</x:v>
      </x:c>
      <x:c r="D12" s="17" t="str">
        <x:v>%</x:v>
      </x:c>
      <x:c r="E12" s="17" t="str">
        <x:v>tedensko</x:v>
      </x:c>
      <x:c r="F12" s="17" t="str">
        <x:v>ekipa, stranka</x:v>
      </x:c>
      <x:c r="G12" s="17" t="str">
        <x:v>&lt;2% delovni cilj</x:v>
      </x:c>
      <x:c r="H12" s="17" t="str">
        <x:v>H</x:v>
      </x:c>
    </x:row>
    <x:row r="13">
      <x:c r="A13" s="16" t="str">
        <x:v>K09</x:v>
      </x:c>
      <x:c r="B13" s="16" t="str">
        <x:v>Popravki DDV</x:v>
      </x:c>
      <x:c r="C13" s="16" t="str">
        <x:v>popravki / stranke x 100</x:v>
      </x:c>
      <x:c r="D13" s="16" t="str">
        <x:v>#</x:v>
      </x:c>
      <x:c r="E13" s="16" t="str">
        <x:v>obdobje</x:v>
      </x:c>
      <x:c r="F13" s="16" t="str">
        <x:v>vzrok</x:v>
      </x:c>
      <x:c r="G13" s="16" t="str">
        <x:v>0 ponavljajočih vzrokov</x:v>
      </x:c>
      <x:c r="H13" s="16" t="str">
        <x:v>H</x:v>
      </x:c>
    </x:row>
    <x:row r="14">
      <x:c r="A14" s="17" t="str">
        <x:v>K10</x:v>
      </x:c>
      <x:c r="B14" s="17" t="str">
        <x:v>Ure opominjanja</x:v>
      </x:c>
      <x:c r="C14" s="17" t="str">
        <x:v>aktivni čas opomnikov</x:v>
      </x:c>
      <x:c r="D14" s="17" t="str">
        <x:v>h</x:v>
      </x:c>
      <x:c r="E14" s="17" t="str">
        <x:v>mesečno</x:v>
      </x:c>
      <x:c r="F14" s="17" t="str">
        <x:v>stranka, kanal</x:v>
      </x:c>
      <x:c r="G14" s="17" t="str">
        <x:v>trend navzdol</x:v>
      </x:c>
      <x:c r="H14" s="17" t="str">
        <x:v>H</x:v>
      </x:c>
    </x:row>
    <x:row r="15">
      <x:c r="A15" s="16" t="str">
        <x:v>K11</x:v>
      </x:c>
      <x:c r="B15" s="16" t="str">
        <x:v>Prispevna marža stranke</x:v>
      </x:c>
      <x:c r="C15" s="16" t="str">
        <x:v>prihodek - variabilni stroški</x:v>
      </x:c>
      <x:c r="D15" s="16" t="str">
        <x:v>EUR/%</x:v>
      </x:c>
      <x:c r="E15" s="16" t="str">
        <x:v>mesečno</x:v>
      </x:c>
      <x:c r="F15" s="16" t="str">
        <x:v>segment</x:v>
      </x:c>
      <x:c r="G15" s="16" t="str">
        <x:v>segmentni kvartili</x:v>
      </x:c>
      <x:c r="H15" s="16" t="str">
        <x:v>H</x:v>
      </x:c>
    </x:row>
    <x:row r="16">
      <x:c r="A16" s="17" t="str">
        <x:v>K12</x:v>
      </x:c>
      <x:c r="B16" s="17" t="str">
        <x:v>Prihodek/FTE</x:v>
      </x:c>
      <x:c r="C16" s="17" t="str">
        <x:v>letni prihodek / povprečni FTE</x:v>
      </x:c>
      <x:c r="D16" s="17" t="str">
        <x:v>EUR</x:v>
      </x:c>
      <x:c r="E16" s="17" t="str">
        <x:v>letno</x:v>
      </x:c>
      <x:c r="F16" s="17" t="str">
        <x:v>podjetje</x:v>
      </x:c>
      <x:c r="G16" s="17" t="str">
        <x:v>87.689 EUR družbe ožjega trga</x:v>
      </x:c>
      <x:c r="H16" s="17" t="str">
        <x:v>A</x:v>
      </x:c>
    </x:row>
    <x:row r="17">
      <x:c r="A17" s="16" t="str">
        <x:v>K13</x:v>
      </x:c>
      <x:c r="B17" s="16" t="str">
        <x:v>Strošek dela/FTE</x:v>
      </x:c>
      <x:c r="C17" s="16" t="str">
        <x:v>stroški dela / FTE</x:v>
      </x:c>
      <x:c r="D17" s="16" t="str">
        <x:v>EUR</x:v>
      </x:c>
      <x:c r="E17" s="16" t="str">
        <x:v>letno</x:v>
      </x:c>
      <x:c r="F17" s="16" t="str">
        <x:v>podjetje</x:v>
      </x:c>
      <x:c r="G17" s="16" t="str">
        <x:v>40.700 EUR družbe ožjega trga</x:v>
      </x:c>
      <x:c r="H17" s="16" t="str">
        <x:v>A</x:v>
      </x:c>
    </x:row>
    <x:row r="18">
      <x:c r="A18" s="17" t="str">
        <x:v>K14</x:v>
      </x:c>
      <x:c r="B18" s="17" t="str">
        <x:v>Dodana vrednost/FTE</x:v>
      </x:c>
      <x:c r="C18" s="17" t="str">
        <x:v>VA / FTE</x:v>
      </x:c>
      <x:c r="D18" s="17" t="str">
        <x:v>EUR</x:v>
      </x:c>
      <x:c r="E18" s="17" t="str">
        <x:v>letno</x:v>
      </x:c>
      <x:c r="F18" s="17" t="str">
        <x:v>podjetje</x:v>
      </x:c>
      <x:c r="G18" s="17" t="str">
        <x:v>54.130,60 EUR družbe ožjega trga</x:v>
      </x:c>
      <x:c r="H18" s="17" t="str">
        <x:v>A</x:v>
      </x:c>
    </x:row>
    <x:row r="19">
      <x:c r="A19" s="16" t="str">
        <x:v>K15</x:v>
      </x:c>
      <x:c r="B19" s="16" t="str">
        <x:v>Čas do produktivnosti</x:v>
      </x:c>
      <x:c r="C19" s="16" t="str">
        <x:v>dni do ciljnega portfelja/kakovosti</x:v>
      </x:c>
      <x:c r="D19" s="16" t="str">
        <x:v>dni</x:v>
      </x:c>
      <x:c r="E19" s="16" t="str">
        <x:v>ob zaposlitvi</x:v>
      </x:c>
      <x:c r="F19" s="16" t="str">
        <x:v>vloga</x:v>
      </x:c>
      <x:c r="G19" s="16" t="str">
        <x:v>interni trend</x:v>
      </x:c>
      <x:c r="H19" s="16" t="str">
        <x:v>H</x:v>
      </x:c>
    </x:row>
    <x:row r="20">
      <x:c r="A20" s="17" t="str">
        <x:v>K16</x:v>
      </x:c>
      <x:c r="B20" s="17" t="str">
        <x:v>Odzivni čas stranki</x:v>
      </x:c>
      <x:c r="C20" s="17" t="str">
        <x:v>prvi smiseln odziv - zahteva</x:v>
      </x:c>
      <x:c r="D20" s="17" t="str">
        <x:v>h</x:v>
      </x:c>
      <x:c r="E20" s="17" t="str">
        <x:v>tedensko</x:v>
      </x:c>
      <x:c r="F20" s="17" t="str">
        <x:v>kanal, prioriteta</x:v>
      </x:c>
      <x:c r="G20" s="17" t="str">
        <x:v>SLA po paketu</x:v>
      </x:c>
      <x:c r="H20" s="17" t="str">
        <x:v>H</x:v>
      </x:c>
    </x:row>
    <x:row r="21">
      <x:c r="A21" s="16" t="str">
        <x:v>K17</x:v>
      </x:c>
      <x:c r="B21" s="16" t="str">
        <x:v>Monetizacija kapacitete</x:v>
      </x:c>
      <x:c r="C21" s="16" t="str">
        <x:v>denarno realizirane / ekonomske ure</x:v>
      </x:c>
      <x:c r="D21" s="16" t="str">
        <x:v>%</x:v>
      </x:c>
      <x:c r="E21" s="16" t="str">
        <x:v>kvartalno</x:v>
      </x:c>
      <x:c r="F21" s="16" t="str">
        <x:v>vzvod</x:v>
      </x:c>
      <x:c r="G21" s="16" t="str">
        <x:v>scenarijska predpostavka</x:v>
      </x:c>
      <x:c r="H21" s="16" t="str">
        <x:v>H</x:v>
      </x:c>
    </x:row>
    <x:row r="22">
      <x:c r="A22" s="17" t="str">
        <x:v>K18</x:v>
      </x:c>
      <x:c r="B22" s="17" t="str">
        <x:v>Sprejetje strank</x:v>
      </x:c>
      <x:c r="C22" s="17" t="str">
        <x:v>aktivne po ciljnem toku / vključene</x:v>
      </x:c>
      <x:c r="D22" s="17" t="str">
        <x:v>%</x:v>
      </x:c>
      <x:c r="E22" s="17" t="str">
        <x:v>tedensko</x:v>
      </x:c>
      <x:c r="F22" s="17" t="str">
        <x:v>val, segment</x:v>
      </x:c>
      <x:c r="G22" s="17" t="str">
        <x:v>cilj po valu</x:v>
      </x:c>
      <x:c r="H22" s="17" t="str">
        <x:v>H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2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30" customHeight="1">
      <x:c r="A1" s="3" t="str">
        <x:v>Finančne formule vrednosti</x:v>
      </x:c>
    </x:row>
    <x:row r="2" ht="34" customHeight="1">
      <x:c r="A2" s="7" t="str">
        <x:v>Model ločuje čas, ekonomsko vrednost in denarno realizacijo.</x:v>
      </x:c>
    </x:row>
    <x:row r="4" ht="28" customHeight="1">
      <x:c r="A4" s="12" t="str">
        <x:v>Metrika</x:v>
      </x:c>
      <x:c r="B4" s="12" t="str">
        <x:v>Formula</x:v>
      </x:c>
      <x:c r="C4" s="12" t="str">
        <x:v>Pomen</x:v>
      </x:c>
      <x:c r="D4" s="12" t="str">
        <x:v>Vhodi</x:v>
      </x:c>
      <x:c r="E4" s="12" t="str">
        <x:v>Opozorilo</x:v>
      </x:c>
    </x:row>
    <x:row r="5">
      <x:c r="A5" s="16" t="str">
        <x:v>Bruto ure</x:v>
      </x:c>
      <x:c r="B5" s="16" t="str">
        <x:v>dokumenti x 12 x ročni delež x minute / 60</x:v>
      </x:c>
      <x:c r="C5" s="16" t="str">
        <x:v>obseg ročne rutine</x:v>
      </x:c>
      <x:c r="D5" s="16" t="str">
        <x:v>mesečni dokumenti, delež, čas</x:v>
      </x:c>
      <x:c r="E5" s="16" t="str">
        <x:v>ne pomeni denarja</x:v>
      </x:c>
    </x:row>
    <x:row r="6">
      <x:c r="A6" s="17" t="str">
        <x:v>Naslovljive ure</x:v>
      </x:c>
      <x:c r="B6" s="17" t="str">
        <x:v>bruto ure x rešljiv delež x fit x sprejetje servisa x sprejetje strank</x:v>
      </x:c>
      <x:c r="C6" s="17" t="str">
        <x:v>realni tehnični in vedenjski doseg</x:v>
      </x:c>
      <x:c r="D6" s="17" t="str">
        <x:v>pet faktorjev</x:v>
      </x:c>
      <x:c r="E6" s="17" t="str">
        <x:v>občutljivo na sprejetje</x:v>
      </x:c>
    </x:row>
    <x:row r="7">
      <x:c r="A7" s="16" t="str">
        <x:v>Ekonomska vrednost kapacitete</x:v>
      </x:c>
      <x:c r="B7" s="16" t="str">
        <x:v>naslovljive ure x polni strošek ure</x:v>
      </x:c>
      <x:c r="C7" s="16" t="str">
        <x:v>vrednost sproščene zmogljivosti</x:v>
      </x:c>
      <x:c r="D7" s="16" t="str">
        <x:v>ure, strošek</x:v>
      </x:c>
      <x:c r="E7" s="16" t="str">
        <x:v>ni vedno denarno realizirana</x:v>
      </x:c>
    </x:row>
    <x:row r="8">
      <x:c r="A8" s="17" t="str">
        <x:v>Denarno realizirana kapaciteta</x:v>
      </x:c>
      <x:c r="B8" s="17" t="str">
        <x:v>ekonomska vrednost x monetizacijski faktor</x:v>
      </x:c>
      <x:c r="C8" s="17" t="str">
        <x:v>nadure/zaposlitev/rast</x:v>
      </x:c>
      <x:c r="D8" s="17" t="str">
        <x:v>monetizacija</x:v>
      </x:c>
      <x:c r="E8" s="17" t="str">
        <x:v>konzervativna ocena</x:v>
      </x:c>
    </x:row>
    <x:row r="9">
      <x:c r="A9" s="16" t="str">
        <x:v>Prispevek rasti</x:v>
      </x:c>
      <x:c r="B9" s="16" t="str">
        <x:v>nove stranke x mesečni prispevek x 12 x sprejetje</x:v>
      </x:c>
      <x:c r="C9" s="16" t="str">
        <x:v>marža dodatnih strank</x:v>
      </x:c>
      <x:c r="D9" s="16" t="str">
        <x:v># strank, prispevek</x:v>
      </x:c>
      <x:c r="E9" s="16" t="str">
        <x:v>ne uporabljaj prihodka</x:v>
      </x:c>
    </x:row>
    <x:row r="10">
      <x:c r="A10" s="17" t="str">
        <x:v>Korist tveganja</x:v>
      </x:c>
      <x:c r="B10" s="17" t="str">
        <x:v>osnovna pričakovana izguba x znižanje x sprejetje</x:v>
      </x:c>
      <x:c r="C10" s="17" t="str">
        <x:v>pričakovana vrednost</x:v>
      </x:c>
      <x:c r="D10" s="17" t="str">
        <x:v>verjetnost x posledica</x:v>
      </x:c>
      <x:c r="E10" s="17" t="str">
        <x:v>ni zagotovljen prihranek</x:v>
      </x:c>
    </x:row>
    <x:row r="11">
      <x:c r="A11" s="16" t="str">
        <x:v>Leto 1 neto</x:v>
      </x:c>
      <x:c r="B11" s="16" t="str">
        <x:v>koristi x ramp-up - enkratni in ponavljajoči stroški</x:v>
      </x:c>
      <x:c r="C11" s="16" t="str">
        <x:v>prvoletni denarni rezultat</x:v>
      </x:c>
      <x:c r="D11" s="16" t="str">
        <x:v>vse kategorije</x:v>
      </x:c>
      <x:c r="E11" s="16" t="str">
        <x:v>vključi motnjo</x:v>
      </x:c>
    </x:row>
    <x:row r="12">
      <x:c r="A12" s="17" t="str">
        <x:v>ROI leto 1</x:v>
      </x:c>
      <x:c r="B12" s="17" t="str">
        <x:v>neto leto 1 / strošek leto 1</x:v>
      </x:c>
      <x:c r="C12" s="17" t="str">
        <x:v>donos na investicijo</x:v>
      </x:c>
      <x:c r="D12" s="17" t="str">
        <x:v>korist, strošek</x:v>
      </x:c>
      <x:c r="E12" s="17" t="str">
        <x:v>lahko negativen ob dobrem 3L NPV</x:v>
      </x:c>
    </x:row>
    <x:row r="13">
      <x:c r="A13" s="16" t="str">
        <x:v>Payback</x:v>
      </x:c>
      <x:c r="B13" s="16" t="str">
        <x:v>strošek / stabilizirana mesečna neto korist</x:v>
      </x:c>
      <x:c r="C13" s="16" t="str">
        <x:v>povračilna doba</x:v>
      </x:c>
      <x:c r="D13" s="16" t="str">
        <x:v>mesečni tok</x:v>
      </x:c>
      <x:c r="E13" s="16" t="str">
        <x:v>N/A če tok &lt;=0</x:v>
      </x:c>
    </x:row>
    <x:row r="14">
      <x:c r="A14" s="17" t="str">
        <x:v>NPV 3 leta</x:v>
      </x:c>
      <x:c r="B14" s="17" t="str">
        <x:v>CF1/(1+r)+CF2/(1+r)^2+CF3/(1+r)^3</x:v>
      </x:c>
      <x:c r="C14" s="17" t="str">
        <x:v>časovna vrednost</x:v>
      </x:c>
      <x:c r="D14" s="17" t="str">
        <x:v>denarni tok, diskont</x:v>
      </x:c>
      <x:c r="E14" s="17" t="str">
        <x:v>primerjaj scenarije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32" hidden="0" customWidth="1"/>
    <x:col min="4" max="4" width="25" hidden="0" customWidth="1"/>
    <x:col min="5" max="5" width="34" hidden="0" customWidth="1"/>
    <x:col min="6" max="6" width="14" hidden="0" customWidth="1"/>
  </x:cols>
  <x:sheetData>
    <x:row r="1" ht="30" customHeight="1">
      <x:c r="A1" s="3" t="str">
        <x:v>Bolečina → rešitev → KPI</x:v>
      </x:c>
    </x:row>
    <x:row r="2" ht="34" customHeight="1">
      <x:c r="A2" s="7" t="str">
        <x:v>Funkcija ustvari vrednost le ob izpolnjenem procesnem predpogoju.</x:v>
      </x:c>
    </x:row>
    <x:row r="4" ht="28" customHeight="1">
      <x:c r="A4" s="12" t="str">
        <x:v>Pain ID</x:v>
      </x:c>
      <x:c r="B4" s="12" t="str">
        <x:v>Problem</x:v>
      </x:c>
      <x:c r="C4" s="12" t="str">
        <x:v>Zmožnost</x:v>
      </x:c>
      <x:c r="D4" s="12" t="str">
        <x:v>KPI</x:v>
      </x:c>
      <x:c r="E4" s="12" t="str">
        <x:v>Predpogoj</x:v>
      </x:c>
      <x:c r="F4" s="12" t="str">
        <x:v>Fit</x:v>
      </x:c>
    </x:row>
    <x:row r="5">
      <x:c r="A5" s="16" t="str">
        <x:v>B01</x:v>
      </x:c>
      <x:c r="B5" s="16" t="str">
        <x:v>Pozni dokumenti</x:v>
      </x:c>
      <x:c r="C5" s="16" t="str">
        <x:v>eVložišče/portal/opomniki</x:v>
      </x:c>
      <x:c r="D5" s="16" t="str">
        <x:v>% do cut-offa</x:v>
      </x:c>
      <x:c r="E5" s="16" t="str">
        <x:v>sprejetje strank</x:v>
      </x:c>
      <x:c r="F5" s="16" t="str">
        <x:v>visok</x:v>
      </x:c>
    </x:row>
    <x:row r="6">
      <x:c r="A6" s="17" t="str">
        <x:v>B02</x:v>
      </x:c>
      <x:c r="B6" s="17" t="str">
        <x:v>Več kanalov</x:v>
      </x:c>
      <x:c r="C6" s="17" t="str">
        <x:v>eVložišče, e-računi, DMS</x:v>
      </x:c>
      <x:c r="D6" s="17" t="str">
        <x:v>% strukturiranih</x:v>
      </x:c>
      <x:c r="E6" s="17" t="str">
        <x:v>enoten proces</x:v>
      </x:c>
      <x:c r="F6" s="17" t="str">
        <x:v>visok</x:v>
      </x:c>
    </x:row>
    <x:row r="7">
      <x:c r="A7" s="16" t="str">
        <x:v>B03</x:v>
      </x:c>
      <x:c r="B7" s="16" t="str">
        <x:v>Ročni prepis</x:v>
      </x:c>
      <x:c r="C7" s="16" t="str">
        <x:v>eKnjižbe/eTypless</x:v>
      </x:c>
      <x:c r="D7" s="16" t="str">
        <x:v>min/dokument</x:v>
      </x:c>
      <x:c r="E7" s="16" t="str">
        <x:v>kakovost slike/predlog</x:v>
      </x:c>
      <x:c r="F7" s="16" t="str">
        <x:v>visok</x:v>
      </x:c>
    </x:row>
    <x:row r="8">
      <x:c r="A8" s="17" t="str">
        <x:v>B04</x:v>
      </x:c>
      <x:c r="B8" s="17" t="str">
        <x:v>Neenotni postopki</x:v>
      </x:c>
      <x:c r="C8" s="17" t="str">
        <x:v>predloge + konzola + pravila</x:v>
      </x:c>
      <x:c r="D8" s="17" t="str">
        <x:v>odstopanja</x:v>
      </x:c>
      <x:c r="E8" s="17" t="str">
        <x:v>upravljanje spremembe</x:v>
      </x:c>
      <x:c r="F8" s="17" t="str">
        <x:v>srednje-visok</x:v>
      </x:c>
    </x:row>
    <x:row r="9">
      <x:c r="A9" s="16" t="str">
        <x:v>B05</x:v>
      </x:c>
      <x:c r="B9" s="16" t="str">
        <x:v>Izjeme/naloge</x:v>
      </x:c>
      <x:c r="C9" s="16" t="str">
        <x:v>računovodska konzola</x:v>
      </x:c>
      <x:c r="D9" s="16" t="str">
        <x:v>naloge po roku</x:v>
      </x:c>
      <x:c r="E9" s="16" t="str">
        <x:v>statusi in lastniki</x:v>
      </x:c>
      <x:c r="F9" s="16" t="str">
        <x:v>visok</x:v>
      </x:c>
    </x:row>
    <x:row r="10">
      <x:c r="A10" s="17" t="str">
        <x:v>B06</x:v>
      </x:c>
      <x:c r="B10" s="17" t="str">
        <x:v>Ročni opomniki</x:v>
      </x:c>
      <x:c r="C10" s="17" t="str">
        <x:v>workflow/komunikacijski tok</x:v>
      </x:c>
      <x:c r="D10" s="17" t="str">
        <x:v>ure opominjanja</x:v>
      </x:c>
      <x:c r="E10" s="17" t="str">
        <x:v>pravila in privolitev</x:v>
      </x:c>
      <x:c r="F10" s="17" t="str">
        <x:v>visok</x:v>
      </x:c>
    </x:row>
    <x:row r="11">
      <x:c r="A11" s="16" t="str">
        <x:v>B08</x:v>
      </x:c>
      <x:c r="B11" s="16" t="str">
        <x:v>Donosnost stranke</x:v>
      </x:c>
      <x:c r="C11" s="16" t="str">
        <x:v>poročila + podatkovni izvoz</x:v>
      </x:c>
      <x:c r="D11" s="16" t="str">
        <x:v>prispevna marža</x:v>
      </x:c>
      <x:c r="E11" s="16" t="str">
        <x:v>časovne evidence/TCO</x:v>
      </x:c>
      <x:c r="F11" s="16" t="str">
        <x:v>srednji</x:v>
      </x:c>
    </x:row>
    <x:row r="12">
      <x:c r="A12" s="17" t="str">
        <x:v>B10</x:v>
      </x:c>
      <x:c r="B12" s="17" t="str">
        <x:v>Banka</x:v>
      </x:c>
      <x:c r="C12" s="17" t="str">
        <x:v>uvoz in avtomatsko ujemanje</x:v>
      </x:c>
      <x:c r="D12" s="17" t="str">
        <x:v>% auto-match</x:v>
      </x:c>
      <x:c r="E12" s="17" t="str">
        <x:v>format banke</x:v>
      </x:c>
      <x:c r="F12" s="17" t="str">
        <x:v>visok</x:v>
      </x:c>
    </x:row>
    <x:row r="13">
      <x:c r="A13" s="16" t="str">
        <x:v>B11</x:v>
      </x:c>
      <x:c r="B13" s="16" t="str">
        <x:v>Excel poročanje</x:v>
      </x:c>
      <x:c r="C13" s="16" t="str">
        <x:v>poročila/BI</x:v>
      </x:c>
      <x:c r="D13" s="16" t="str">
        <x:v>čas do poročila</x:v>
      </x:c>
      <x:c r="E13" s="16" t="str">
        <x:v>definicija KPI</x:v>
      </x:c>
      <x:c r="F13" s="16" t="str">
        <x:v>visok</x:v>
      </x:c>
    </x:row>
    <x:row r="14">
      <x:c r="A14" s="17" t="str">
        <x:v>B16</x:v>
      </x:c>
      <x:c r="B14" s="17" t="str">
        <x:v>Duplikati</x:v>
      </x:c>
      <x:c r="C14" s="17" t="str">
        <x:v>validacija dokumentov</x:v>
      </x:c>
      <x:c r="D14" s="17" t="str">
        <x:v>duplikati/1000</x:v>
      </x:c>
      <x:c r="E14" s="17" t="str">
        <x:v>unikatni identifikator</x:v>
      </x:c>
      <x:c r="F14" s="17" t="str">
        <x:v>visok</x:v>
      </x:c>
    </x:row>
    <x:row r="15">
      <x:c r="A15" s="16" t="str">
        <x:v>B21</x:v>
      </x:c>
      <x:c r="B15" s="16" t="str">
        <x:v>Nepovezani sistemi</x:v>
      </x:c>
      <x:c r="C15" s="16" t="str">
        <x:v>konektor/API/uvozi</x:v>
      </x:c>
      <x:c r="D15" s="16" t="str">
        <x:v>ročni prenosi</x:v>
      </x:c>
      <x:c r="E15" s="16" t="str">
        <x:v>integracijska analiza</x:v>
      </x:c>
      <x:c r="F15" s="16" t="str">
        <x:v>srednji</x:v>
      </x:c>
    </x:row>
    <x:row r="16">
      <x:c r="A16" s="17" t="str">
        <x:v>B25</x:v>
      </x:c>
      <x:c r="B16" s="17" t="str">
        <x:v>Skladnost</x:v>
      </x:c>
      <x:c r="C16" s="17" t="str">
        <x:v>pravice, DMS, revizijska sled</x:v>
      </x:c>
      <x:c r="D16" s="17" t="str">
        <x:v>nepopolne kontrole</x:v>
      </x:c>
      <x:c r="E16" s="17" t="str">
        <x:v>proces in pogodbe</x:v>
      </x:c>
      <x:c r="F16" s="17" t="str">
        <x:v>srednji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34" hidden="0" customWidth="1"/>
    <x:col min="4" max="4" width="26" hidden="0" customWidth="1"/>
    <x:col min="5" max="5" width="10" hidden="0" customWidth="1"/>
    <x:col min="6" max="6" width="42" hidden="0" customWidth="1"/>
  </x:cols>
  <x:sheetData>
    <x:row r="1" ht="30" customHeight="1">
      <x:c r="A1" s="3" t="str">
        <x:v>PANTHEON funkcionalni zemljevid</x:v>
      </x:c>
    </x:row>
    <x:row r="2" ht="34" customHeight="1">
      <x:c r="A2" s="7" t="str">
        <x:v>Javno potrjene zmožnosti; komercialne in implementacijske podrobnosti se preverijo s ponudbo/pilotom.</x:v>
      </x:c>
    </x:row>
    <x:row r="4" ht="28" customHeight="1">
      <x:c r="A4" s="12" t="str">
        <x:v>Zmožnost</x:v>
      </x:c>
      <x:c r="B4" s="12" t="str">
        <x:v>Proces</x:v>
      </x:c>
      <x:c r="C4" s="12" t="str">
        <x:v>Vrednost</x:v>
      </x:c>
      <x:c r="D4" s="12" t="str">
        <x:v>Vir/izdelek</x:v>
      </x:c>
      <x:c r="E4" s="12" t="str">
        <x:v>Dokaz</x:v>
      </x:c>
      <x:c r="F4" s="12" t="str">
        <x:v>Odprto vprašanje</x:v>
      </x:c>
    </x:row>
    <x:row r="5">
      <x:c r="A5" s="16" t="str">
        <x:v>Računovodska konzola</x:v>
      </x:c>
      <x:c r="B5" s="16" t="str">
        <x:v>portfelj in operativa</x:v>
      </x:c>
      <x:c r="C5" s="16" t="str">
        <x:v>pregled strank/nalog</x:v>
      </x:c>
      <x:c r="D5" s="16" t="str">
        <x:v>PANTHEON Accounting</x:v>
      </x:c>
      <x:c r="E5" s="16" t="str">
        <x:v>A</x:v>
      </x:c>
      <x:c r="F5" s="16" t="str">
        <x:v>potrebna demonstracija realnega toka</x:v>
      </x:c>
    </x:row>
    <x:row r="6">
      <x:c r="A6" s="17" t="str">
        <x:v>Avtomatska knjiženja</x:v>
      </x:c>
      <x:c r="B6" s="17" t="str">
        <x:v>knjiženje</x:v>
      </x:c>
      <x:c r="C6" s="17" t="str">
        <x:v>manj rutinskih vnosov</x:v>
      </x:c>
      <x:c r="D6" s="17" t="str">
        <x:v>PANTHEON Accounting</x:v>
      </x:c>
      <x:c r="E6" s="17" t="str">
        <x:v>A</x:v>
      </x:c>
      <x:c r="F6" s="17" t="str">
        <x:v>kakovost pravil in šifrantov</x:v>
      </x:c>
    </x:row>
    <x:row r="7">
      <x:c r="A7" s="16" t="str">
        <x:v>eKnjižbe/eTypless</x:v>
      </x:c>
      <x:c r="B7" s="16" t="str">
        <x:v>zajem/OCR</x:v>
      </x:c>
      <x:c r="C7" s="16" t="str">
        <x:v>prepoznava računov</x:v>
      </x:c>
      <x:c r="D7" s="16" t="str">
        <x:v>eKnjižbe</x:v>
      </x:c>
      <x:c r="E7" s="16" t="str">
        <x:v>A</x:v>
      </x:c>
      <x:c r="F7" s="16" t="str">
        <x:v>količina, cena in natančnost po poljih</x:v>
      </x:c>
    </x:row>
    <x:row r="8">
      <x:c r="A8" s="17" t="str">
        <x:v>eVložišče/DMS</x:v>
      </x:c>
      <x:c r="B8" s="17" t="str">
        <x:v>dokumenti</x:v>
      </x:c>
      <x:c r="C8" s="17" t="str">
        <x:v>centralni vhod/hramba</x:v>
      </x:c>
      <x:c r="D8" s="17" t="str">
        <x:v>Accounting/e-poslovanje</x:v>
      </x:c>
      <x:c r="E8" s="17" t="str">
        <x:v>A</x:v>
      </x:c>
      <x:c r="F8" s="17" t="str">
        <x:v>pravice, prostor, retencija</x:v>
      </x:c>
    </x:row>
    <x:row r="9">
      <x:c r="A9" s="16" t="str">
        <x:v>eRačun</x:v>
      </x:c>
      <x:c r="B9" s="16" t="str">
        <x:v>izmenjava</x:v>
      </x:c>
      <x:c r="C9" s="16" t="str">
        <x:v>strukturirani račun</x:v>
      </x:c>
      <x:c r="D9" s="16" t="str">
        <x:v>e-poslovanje</x:v>
      </x:c>
      <x:c r="E9" s="16" t="str">
        <x:v>A</x:v>
      </x:c>
      <x:c r="F9" s="16" t="str">
        <x:v>paket na družbo/bazo preveriti</x:v>
      </x:c>
    </x:row>
    <x:row r="10">
      <x:c r="A10" s="17" t="str">
        <x:v>AJPES/eDavki poročila</x:v>
      </x:c>
      <x:c r="B10" s="17" t="str">
        <x:v>zakonsko poročanje</x:v>
      </x:c>
      <x:c r="C10" s="17" t="str">
        <x:v>manj ročnega prenosa</x:v>
      </x:c>
      <x:c r="D10" s="17" t="str">
        <x:v>Accounting</x:v>
      </x:c>
      <x:c r="E10" s="17" t="str">
        <x:v>A</x:v>
      </x:c>
      <x:c r="F10" s="17" t="str">
        <x:v>pravilna konfiguracija</x:v>
      </x:c>
    </x:row>
    <x:row r="11">
      <x:c r="A11" s="16" t="str">
        <x:v>Web/Web Light</x:v>
      </x:c>
      <x:c r="B11" s="16" t="str">
        <x:v>sodelovanje stranke</x:v>
      </x:c>
      <x:c r="C11" s="16" t="str">
        <x:v>dostop prek brskalnika</x:v>
      </x:c>
      <x:c r="D11" s="16" t="str">
        <x:v>PANTHEON Web</x:v>
      </x:c>
      <x:c r="E11" s="16" t="str">
        <x:v>A</x:v>
      </x:c>
      <x:c r="F11" s="16" t="str">
        <x:v>pariteta funkcij in uporabniška izkušnja</x:v>
      </x:c>
    </x:row>
    <x:row r="12">
      <x:c r="A12" s="17" t="str">
        <x:v>Saldakonti</x:v>
      </x:c>
      <x:c r="B12" s="17" t="str">
        <x:v>finance</x:v>
      </x:c>
      <x:c r="C12" s="17" t="str">
        <x:v>terjatve/obveznosti</x:v>
      </x:c>
      <x:c r="D12" s="17" t="str">
        <x:v>ERP jedro</x:v>
      </x:c>
      <x:c r="E12" s="17" t="str">
        <x:v>A</x:v>
      </x:c>
      <x:c r="F12" s="17" t="str">
        <x:v>bančni tok</x:v>
      </x:c>
    </x:row>
    <x:row r="13">
      <x:c r="A13" s="16" t="str">
        <x:v>Plače/kadri</x:v>
      </x:c>
      <x:c r="B13" s="16" t="str">
        <x:v>plače</x:v>
      </x:c>
      <x:c r="C13" s="16" t="str">
        <x:v>obračun in dokumenti</x:v>
      </x:c>
      <x:c r="D13" s="16" t="str">
        <x:v>ME/MF ali ponudba</x:v>
      </x:c>
      <x:c r="E13" s="16" t="str">
        <x:v>A</x:v>
      </x:c>
      <x:c r="F13" s="16" t="str">
        <x:v>licenčna konfiguracija</x:v>
      </x:c>
    </x:row>
    <x:row r="14">
      <x:c r="A14" s="17" t="str">
        <x:v>Konektor/integracije</x:v>
      </x:c>
      <x:c r="B14" s="17" t="str">
        <x:v>ekosistem</x:v>
      </x:c>
      <x:c r="C14" s="17" t="str">
        <x:v>zunanji sistemi</x:v>
      </x:c>
      <x:c r="D14" s="17" t="str">
        <x:v>po ponudbi</x:v>
      </x:c>
      <x:c r="E14" s="17" t="str">
        <x:v>A/C</x:v>
      </x:c>
      <x:c r="F14" s="17" t="str">
        <x:v>API, lastništvo, podpora</x:v>
      </x:c>
    </x:row>
    <x:row r="15">
      <x:c r="A15" s="16" t="str">
        <x:v>Cloud gostovanje</x:v>
      </x:c>
      <x:c r="B15" s="16" t="str">
        <x:v>infrastruktura</x:v>
      </x:c>
      <x:c r="C15" s="16" t="str">
        <x:v>oddaljen dostop/backup</x:v>
      </x:c>
      <x:c r="D15" s="16" t="str">
        <x:v>PANTHEON Cloud</x:v>
      </x:c>
      <x:c r="E15" s="16" t="str">
        <x:v>A</x:v>
      </x:c>
      <x:c r="F15" s="16" t="str">
        <x:v>RPO/RTO in podizvajalci</x:v>
      </x:c>
    </x:row>
    <x:row r="16">
      <x:c r="A16" s="17" t="str">
        <x:v>Podpora in partnerji</x:v>
      </x:c>
      <x:c r="B16" s="17" t="str">
        <x:v>uvedba</x:v>
      </x:c>
      <x:c r="C16" s="17" t="str">
        <x:v>lokalna pomoč</x:v>
      </x:c>
      <x:c r="D16" s="17" t="str">
        <x:v>plačljivo/partnersko</x:v>
      </x:c>
      <x:c r="E16" s="17" t="str">
        <x:v>A</x:v>
      </x:c>
      <x:c r="F16" s="17" t="str">
        <x:v>SLA in 15-min obračun preveriti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28" hidden="0" customWidth="1"/>
    <x:col min="4" max="4" width="30" hidden="0" customWidth="1"/>
    <x:col min="5" max="5" width="28" hidden="0" customWidth="1"/>
    <x:col min="6" max="6" width="25" hidden="0" customWidth="1"/>
  </x:cols>
  <x:sheetData>
    <x:row r="1" ht="30" customHeight="1">
      <x:c r="A1" s="3" t="str">
        <x:v>Predpogoji za doseganje učinka</x:v>
      </x:c>
    </x:row>
    <x:row r="2" ht="34" customHeight="1">
      <x:c r="A2" s="7" t="str">
        <x:v>Kontrolni seznam pred konfiguracijo in pilotom.</x:v>
      </x:c>
    </x:row>
    <x:row r="4" ht="28" customHeight="1">
      <x:c r="A4" s="12" t="str">
        <x:v>Funkcija</x:v>
      </x:c>
      <x:c r="B4" s="12" t="str">
        <x:v>Vhodni pogoj</x:v>
      </x:c>
      <x:c r="C4" s="12" t="str">
        <x:v>Podatkovni pogoj</x:v>
      </x:c>
      <x:c r="D4" s="12" t="str">
        <x:v>Procesni pogoj</x:v>
      </x:c>
      <x:c r="E4" s="12" t="str">
        <x:v>Test</x:v>
      </x:c>
      <x:c r="F4" s="12" t="str">
        <x:v>Izhodni KPI</x:v>
      </x:c>
    </x:row>
    <x:row r="5">
      <x:c r="A5" s="16" t="str">
        <x:v>eKnjižbe</x:v>
      </x:c>
      <x:c r="B5" s="16" t="str">
        <x:v>kakovost skenov/PDF</x:v>
      </x:c>
      <x:c r="C5" s="16" t="str">
        <x:v>urejeni dobavitelji</x:v>
      </x:c>
      <x:c r="D5" s="16" t="str">
        <x:v>pravilo popravkov</x:v>
      </x:c>
      <x:c r="E5" s="16" t="str">
        <x:v>vzorec 200 dokumentov</x:v>
      </x:c>
      <x:c r="F5" s="16" t="str">
        <x:v>% polj brez popravka</x:v>
      </x:c>
    </x:row>
    <x:row r="6">
      <x:c r="A6" s="17" t="str">
        <x:v>Avtomatsko knjiženje</x:v>
      </x:c>
      <x:c r="B6" s="17" t="str">
        <x:v>kontni/davčni vzorci</x:v>
      </x:c>
      <x:c r="C6" s="17" t="str">
        <x:v>stabilni šifranti</x:v>
      </x:c>
      <x:c r="D6" s="17" t="str">
        <x:v>lastnik pravil</x:v>
      </x:c>
      <x:c r="E6" s="17" t="str">
        <x:v>pilot po dobaviteljih</x:v>
      </x:c>
      <x:c r="F6" s="17" t="str">
        <x:v>% brez popravka</x:v>
      </x:c>
    </x:row>
    <x:row r="7">
      <x:c r="A7" s="16" t="str">
        <x:v>eRačuni</x:v>
      </x:c>
      <x:c r="B7" s="16" t="str">
        <x:v>ponudnik e-poti/paket</x:v>
      </x:c>
      <x:c r="C7" s="16" t="str">
        <x:v>identifikatorji</x:v>
      </x:c>
      <x:c r="D7" s="16" t="str">
        <x:v>statusi/retry</x:v>
      </x:c>
      <x:c r="E7" s="16" t="str">
        <x:v>test izmenjave</x:v>
      </x:c>
      <x:c r="F7" s="16" t="str">
        <x:v>uspešni prenosi</x:v>
      </x:c>
    </x:row>
    <x:row r="8">
      <x:c r="A8" s="17" t="str">
        <x:v>Konzola</x:v>
      </x:c>
      <x:c r="B8" s="17" t="str">
        <x:v>enotni statusi</x:v>
      </x:c>
      <x:c r="C8" s="17" t="str">
        <x:v>lastniki strank/nalog</x:v>
      </x:c>
      <x:c r="D8" s="17" t="str">
        <x:v>SLA/cut-off</x:v>
      </x:c>
      <x:c r="E8" s="17" t="str">
        <x:v>tedenski pregled</x:v>
      </x:c>
      <x:c r="F8" s="17" t="str">
        <x:v>naloge po roku</x:v>
      </x:c>
    </x:row>
    <x:row r="9">
      <x:c r="A9" s="16" t="str">
        <x:v>Web/portal</x:v>
      </x:c>
      <x:c r="B9" s="16" t="str">
        <x:v>uporabniki in pravice</x:v>
      </x:c>
      <x:c r="C9" s="16" t="str">
        <x:v>onboarding strank</x:v>
      </x:c>
      <x:c r="D9" s="16" t="str">
        <x:v>podpora strankam</x:v>
      </x:c>
      <x:c r="E9" s="16" t="str">
        <x:v>val 10-30 strank</x:v>
      </x:c>
      <x:c r="F9" s="16" t="str">
        <x:v>aktivacija</x:v>
      </x:c>
    </x:row>
    <x:row r="10">
      <x:c r="A10" s="17" t="str">
        <x:v>DMS/hramba</x:v>
      </x:c>
      <x:c r="B10" s="17" t="str">
        <x:v>klasifikacija</x:v>
      </x:c>
      <x:c r="C10" s="17" t="str">
        <x:v>retencijska politika</x:v>
      </x:c>
      <x:c r="D10" s="17" t="str">
        <x:v>dostopi</x:v>
      </x:c>
      <x:c r="E10" s="17" t="str">
        <x:v>test izvoza</x:v>
      </x:c>
      <x:c r="F10" s="17" t="str">
        <x:v>čas do dokumenta</x:v>
      </x:c>
    </x:row>
    <x:row r="11">
      <x:c r="A11" s="16" t="str">
        <x:v>Integracija banke</x:v>
      </x:c>
      <x:c r="B11" s="16" t="str">
        <x:v>format/pooblastilo</x:v>
      </x:c>
      <x:c r="C11" s="16" t="str">
        <x:v>ujemalna pravila</x:v>
      </x:c>
      <x:c r="D11" s="16" t="str">
        <x:v>izjeme</x:v>
      </x:c>
      <x:c r="E11" s="16" t="str">
        <x:v>vzporedna uskladitev</x:v>
      </x:c>
      <x:c r="F11" s="16" t="str">
        <x:v>% auto-match</x:v>
      </x:c>
    </x:row>
    <x:row r="12">
      <x:c r="A12" s="17" t="str">
        <x:v>BI/poročila</x:v>
      </x:c>
      <x:c r="B12" s="17" t="str">
        <x:v>definicije KPI</x:v>
      </x:c>
      <x:c r="C12" s="17" t="str">
        <x:v>kakovost kontov</x:v>
      </x:c>
      <x:c r="D12" s="17" t="str">
        <x:v>lastnik poročila</x:v>
      </x:c>
      <x:c r="E12" s="17" t="str">
        <x:v>vzporedna primerjava</x:v>
      </x:c>
      <x:c r="F12" s="17" t="str">
        <x:v>čas do poročila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48" hidden="0" customWidth="1"/>
    <x:col min="4" max="4" width="18" hidden="0" customWidth="1"/>
    <x:col min="5" max="5" width="26" hidden="0" customWidth="1"/>
    <x:col min="6" max="6" width="28" hidden="0" customWidth="1"/>
  </x:cols>
  <x:sheetData>
    <x:row r="1" ht="30" customHeight="1">
      <x:c r="A1" s="3" t="str">
        <x:v>Vprašalnik za discovery in validacijo</x:v>
      </x:c>
    </x:row>
    <x:row r="2" ht="34" customHeight="1">
      <x:c r="A2" s="7" t="str">
        <x:v>Vprašanja zahtevajo dokaz ali opazovanje, ne le mnenja.</x:v>
      </x:c>
    </x:row>
    <x:row r="4" ht="28" customHeight="1">
      <x:c r="A4" s="12" t="str">
        <x:v>ID</x:v>
      </x:c>
      <x:c r="B4" s="12" t="str">
        <x:v>Persona</x:v>
      </x:c>
      <x:c r="C4" s="12" t="str">
        <x:v>Vprašanje</x:v>
      </x:c>
      <x:c r="D4" s="12" t="str">
        <x:v>Tip odgovora</x:v>
      </x:c>
      <x:c r="E4" s="12" t="str">
        <x:v>Namen</x:v>
      </x:c>
      <x:c r="F4" s="12" t="str">
        <x:v>Dokaz</x:v>
      </x:c>
    </x:row>
    <x:row r="5">
      <x:c r="A5" s="16" t="str">
        <x:v>Q01</x:v>
      </x:c>
      <x:c r="B5" s="16" t="str">
        <x:v>Lastnik</x:v>
      </x:c>
      <x:c r="C5" s="16" t="str">
        <x:v>Katera tri opravila omejujejo rast?</x:v>
      </x:c>
      <x:c r="D5" s="16" t="str">
        <x:v>odprto</x:v>
      </x:c>
      <x:c r="E5" s="16" t="str">
        <x:v>prioriteta bolečin</x:v>
      </x:c>
      <x:c r="F5" s="16" t="str">
        <x:v>vsako kvantificirati</x:v>
      </x:c>
    </x:row>
    <x:row r="6">
      <x:c r="A6" s="17" t="str">
        <x:v>Q02</x:v>
      </x:c>
      <x:c r="B6" s="17" t="str">
        <x:v>Lastnik</x:v>
      </x:c>
      <x:c r="C6" s="17" t="str">
        <x:v>Koliko strank lahko prevzamete brez nove zaposlitve?</x:v>
      </x:c>
      <x:c r="D6" s="17" t="str">
        <x:v>številčno</x:v>
      </x:c>
      <x:c r="E6" s="17" t="str">
        <x:v>kapaciteta</x:v>
      </x:c>
      <x:c r="F6" s="17" t="str">
        <x:v>primerjaj z načrtom</x:v>
      </x:c>
    </x:row>
    <x:row r="7">
      <x:c r="A7" s="16" t="str">
        <x:v>Q03</x:v>
      </x:c>
      <x:c r="B7" s="16" t="str">
        <x:v>Lastnik</x:v>
      </x:c>
      <x:c r="C7" s="16" t="str">
        <x:v>Kdaj ste nazadnje spremenili ceno zaradi obsega?</x:v>
      </x:c>
      <x:c r="D7" s="16" t="str">
        <x:v>datum/praksa</x:v>
      </x:c>
      <x:c r="E7" s="16" t="str">
        <x:v>cenovna disciplina</x:v>
      </x:c>
      <x:c r="F7" s="16" t="str">
        <x:v>zahtevaj primer</x:v>
      </x:c>
    </x:row>
    <x:row r="8">
      <x:c r="A8" s="17" t="str">
        <x:v>Q04</x:v>
      </x:c>
      <x:c r="B8" s="17" t="str">
        <x:v>Lastnik</x:v>
      </x:c>
      <x:c r="C8" s="17" t="str">
        <x:v>Katere stranke so pod ciljno maržo?</x:v>
      </x:c>
      <x:c r="D8" s="17" t="str">
        <x:v>seznam</x:v>
      </x:c>
      <x:c r="E8" s="17" t="str">
        <x:v>profitabilnost</x:v>
      </x:c>
      <x:c r="F8" s="17" t="str">
        <x:v>preveri podatke</x:v>
      </x:c>
    </x:row>
    <x:row r="9">
      <x:c r="A9" s="16" t="str">
        <x:v>Q05</x:v>
      </x:c>
      <x:c r="B9" s="16" t="str">
        <x:v>Lastnik</x:v>
      </x:c>
      <x:c r="C9" s="16" t="str">
        <x:v>Kaj se ustavi, ko vas ni?</x:v>
      </x:c>
      <x:c r="D9" s="16" t="str">
        <x:v>odprto</x:v>
      </x:c>
      <x:c r="E9" s="16" t="str">
        <x:v>ključna oseba</x:v>
      </x:c>
      <x:c r="F9" s="16" t="str">
        <x:v>procesni dokaz</x:v>
      </x:c>
    </x:row>
    <x:row r="10">
      <x:c r="A10" s="17" t="str">
        <x:v>Q06</x:v>
      </x:c>
      <x:c r="B10" s="17" t="str">
        <x:v>Lastnik</x:v>
      </x:c>
      <x:c r="C10" s="17" t="str">
        <x:v>Koliko nadur nastane v najtežjih mesecih?</x:v>
      </x:c>
      <x:c r="D10" s="17" t="str">
        <x:v>ure</x:v>
      </x:c>
      <x:c r="E10" s="17" t="str">
        <x:v>denarna realizacija</x:v>
      </x:c>
      <x:c r="F10" s="17" t="str">
        <x:v>podatki 12 mesecev</x:v>
      </x:c>
    </x:row>
    <x:row r="11">
      <x:c r="A11" s="16" t="str">
        <x:v>Q07</x:v>
      </x:c>
      <x:c r="B11" s="16" t="str">
        <x:v>Operativa</x:v>
      </x:c>
      <x:c r="C11" s="16" t="str">
        <x:v>Pokažite zadnji dokument z več popravki.</x:v>
      </x:c>
      <x:c r="D11" s="16" t="str">
        <x:v>opazovanje</x:v>
      </x:c>
      <x:c r="E11" s="16" t="str">
        <x:v>rework</x:v>
      </x:c>
      <x:c r="F11" s="16" t="str">
        <x:v>ne samo izjava</x:v>
      </x:c>
    </x:row>
    <x:row r="12">
      <x:c r="A12" s="17" t="str">
        <x:v>Q08</x:v>
      </x:c>
      <x:c r="B12" s="17" t="str">
        <x:v>Operativa</x:v>
      </x:c>
      <x:c r="C12" s="17" t="str">
        <x:v>Od kod vse dokumenti prihajajo?</x:v>
      </x:c>
      <x:c r="D12" s="17" t="str">
        <x:v>seznam/delež</x:v>
      </x:c>
      <x:c r="E12" s="17" t="str">
        <x:v>fragmentacija</x:v>
      </x:c>
      <x:c r="F12" s="17" t="str">
        <x:v>vzorec enega meseca</x:v>
      </x:c>
    </x:row>
    <x:row r="13">
      <x:c r="A13" s="16" t="str">
        <x:v>Q09</x:v>
      </x:c>
      <x:c r="B13" s="16" t="str">
        <x:v>Operativa</x:v>
      </x:c>
      <x:c r="C13" s="16" t="str">
        <x:v>Kako veste, kaj danes zamuja?</x:v>
      </x:c>
      <x:c r="D13" s="16" t="str">
        <x:v>opazovanje</x:v>
      </x:c>
      <x:c r="E13" s="16" t="str">
        <x:v>vidljivost</x:v>
      </x:c>
      <x:c r="F13" s="16" t="str">
        <x:v>pokaži ekran/seznam</x:v>
      </x:c>
    </x:row>
    <x:row r="14">
      <x:c r="A14" s="17" t="str">
        <x:v>Q10</x:v>
      </x:c>
      <x:c r="B14" s="17" t="str">
        <x:v>Operativa</x:v>
      </x:c>
      <x:c r="C14" s="17" t="str">
        <x:v>Katera pravila poznate samo vi?</x:v>
      </x:c>
      <x:c r="D14" s="17" t="str">
        <x:v>odprto</x:v>
      </x:c>
      <x:c r="E14" s="17" t="str">
        <x:v>odvisnost</x:v>
      </x:c>
      <x:c r="F14" s="17" t="str">
        <x:v>dokumentirati</x:v>
      </x:c>
    </x:row>
    <x:row r="15">
      <x:c r="A15" s="16" t="str">
        <x:v>Q11</x:v>
      </x:c>
      <x:c r="B15" s="16" t="str">
        <x:v>Operativa</x:v>
      </x:c>
      <x:c r="C15" s="16" t="str">
        <x:v>Kolikokrat se dokument dotakne človeka?</x:v>
      </x:c>
      <x:c r="D15" s="16" t="str">
        <x:v>številčno</x:v>
      </x:c>
      <x:c r="E15" s="16" t="str">
        <x:v>avtomatizacija</x:v>
      </x:c>
      <x:c r="F15" s="16" t="str">
        <x:v>opazovanje 20 docs</x:v>
      </x:c>
    </x:row>
    <x:row r="16">
      <x:c r="A16" s="17" t="str">
        <x:v>Q12</x:v>
      </x:c>
      <x:c r="B16" s="17" t="str">
        <x:v>Operativa</x:v>
      </x:c>
      <x:c r="C16" s="17" t="str">
        <x:v>Kje nastanejo duplikati?</x:v>
      </x:c>
      <x:c r="D16" s="17" t="str">
        <x:v>vzrok</x:v>
      </x:c>
      <x:c r="E16" s="17" t="str">
        <x:v>kakovost</x:v>
      </x:c>
      <x:c r="F16" s="17" t="str">
        <x:v>identifikator</x:v>
      </x:c>
    </x:row>
    <x:row r="17">
      <x:c r="A17" s="16" t="str">
        <x:v>Q13</x:v>
      </x:c>
      <x:c r="B17" s="16" t="str">
        <x:v>Operativa</x:v>
      </x:c>
      <x:c r="C17" s="16" t="str">
        <x:v>Kaj je najtežje pri nadomeščanju?</x:v>
      </x:c>
      <x:c r="D17" s="16" t="str">
        <x:v>odprto</x:v>
      </x:c>
      <x:c r="E17" s="16" t="str">
        <x:v>standardizacija</x:v>
      </x:c>
      <x:c r="F17" s="16" t="str">
        <x:v>realen primer</x:v>
      </x:c>
    </x:row>
    <x:row r="18">
      <x:c r="A18" s="17" t="str">
        <x:v>Q14</x:v>
      </x:c>
      <x:c r="B18" s="17" t="str">
        <x:v>Stranka</x:v>
      </x:c>
      <x:c r="C18" s="17" t="str">
        <x:v>Kateri kanal uporabljate in zakaj?</x:v>
      </x:c>
      <x:c r="D18" s="17" t="str">
        <x:v>izbira+odprto</x:v>
      </x:c>
      <x:c r="E18" s="17" t="str">
        <x:v>sprejetje</x:v>
      </x:c>
      <x:c r="F18" s="17" t="str">
        <x:v>ne sugerirati portala</x:v>
      </x:c>
    </x:row>
    <x:row r="19">
      <x:c r="A19" s="16" t="str">
        <x:v>Q15</x:v>
      </x:c>
      <x:c r="B19" s="16" t="str">
        <x:v>Stranka</x:v>
      </x:c>
      <x:c r="C19" s="16" t="str">
        <x:v>Kaj otežuje pravočasno oddajo?</x:v>
      </x:c>
      <x:c r="D19" s="16" t="str">
        <x:v>odprto</x:v>
      </x:c>
      <x:c r="E19" s="16" t="str">
        <x:v>vzrok zamud</x:v>
      </x:c>
      <x:c r="F19" s="16" t="str">
        <x:v>segmentiraj</x:v>
      </x:c>
    </x:row>
    <x:row r="20">
      <x:c r="A20" s="17" t="str">
        <x:v>Q16</x:v>
      </x:c>
      <x:c r="B20" s="17" t="str">
        <x:v>Stranka</x:v>
      </x:c>
      <x:c r="C20" s="17" t="str">
        <x:v>Katera poročila dejansko uporabljate?</x:v>
      </x:c>
      <x:c r="D20" s="17" t="str">
        <x:v>seznam</x:v>
      </x:c>
      <x:c r="E20" s="17" t="str">
        <x:v>vrednost poročanja</x:v>
      </x:c>
      <x:c r="F20" s="17" t="str">
        <x:v>dokaz uporabe</x:v>
      </x:c>
    </x:row>
    <x:row r="21">
      <x:c r="A21" s="16" t="str">
        <x:v>Q17</x:v>
      </x:c>
      <x:c r="B21" s="16" t="str">
        <x:v>Stranka</x:v>
      </x:c>
      <x:c r="C21" s="16" t="str">
        <x:v>Koliko časa porabite za pojasnila?</x:v>
      </x:c>
      <x:c r="D21" s="16" t="str">
        <x:v>ure</x:v>
      </x:c>
      <x:c r="E21" s="16" t="str">
        <x:v>strošek stranke</x:v>
      </x:c>
      <x:c r="F21" s="16" t="str">
        <x:v>tedenski dnevnik</x:v>
      </x:c>
    </x:row>
    <x:row r="22">
      <x:c r="A22" s="17" t="str">
        <x:v>Q18</x:v>
      </x:c>
      <x:c r="B22" s="17" t="str">
        <x:v>IT</x:v>
      </x:c>
      <x:c r="C22" s="17" t="str">
        <x:v>Kateri sistemi so vir za računovodstvo?</x:v>
      </x:c>
      <x:c r="D22" s="17" t="str">
        <x:v>inventar</x:v>
      </x:c>
      <x:c r="E22" s="17" t="str">
        <x:v>integracije</x:v>
      </x:c>
      <x:c r="F22" s="17" t="str">
        <x:v>lastnik in format</x:v>
      </x:c>
    </x:row>
    <x:row r="23">
      <x:c r="A23" s="16" t="str">
        <x:v>Q19</x:v>
      </x:c>
      <x:c r="B23" s="16" t="str">
        <x:v>IT</x:v>
      </x:c>
      <x:c r="C23" s="16" t="str">
        <x:v>Kakšni so RPO/RTO in backup testi?</x:v>
      </x:c>
      <x:c r="D23" s="16" t="str">
        <x:v>dokaz</x:v>
      </x:c>
      <x:c r="E23" s="16" t="str">
        <x:v>odpornost</x:v>
      </x:c>
      <x:c r="F23" s="16" t="str">
        <x:v>zadnji test</x:v>
      </x:c>
    </x:row>
    <x:row r="24">
      <x:c r="A24" s="17" t="str">
        <x:v>Q20</x:v>
      </x:c>
      <x:c r="B24" s="17" t="str">
        <x:v>IT</x:v>
      </x:c>
      <x:c r="C24" s="17" t="str">
        <x:v>Kako izvozimo vse podatke in sled?</x:v>
      </x:c>
      <x:c r="D24" s="17" t="str">
        <x:v>demonstracija</x:v>
      </x:c>
      <x:c r="E24" s="17" t="str">
        <x:v>izhod</x:v>
      </x:c>
      <x:c r="F24" s="17" t="str">
        <x:v>testni izvoz</x:v>
      </x:c>
    </x:row>
    <x:row r="25">
      <x:c r="A25" s="16" t="str">
        <x:v>Q21</x:v>
      </x:c>
      <x:c r="B25" s="16" t="str">
        <x:v>Varnost</x:v>
      </x:c>
      <x:c r="C25" s="16" t="str">
        <x:v>Kdo potrjuje pravice in preklice?</x:v>
      </x:c>
      <x:c r="D25" s="16" t="str">
        <x:v>RACI</x:v>
      </x:c>
      <x:c r="E25" s="16" t="str">
        <x:v>dostop</x:v>
      </x:c>
      <x:c r="F25" s="16" t="str">
        <x:v>vzorec 10 uporabnikov</x:v>
      </x:c>
    </x:row>
    <x:row r="26">
      <x:c r="A26" s="17" t="str">
        <x:v>Q22</x:v>
      </x:c>
      <x:c r="B26" s="17" t="str">
        <x:v>Finance</x:v>
      </x:c>
      <x:c r="C26" s="17" t="str">
        <x:v>Kaj je polni strošek produktivne ure?</x:v>
      </x:c>
      <x:c r="D26" s="17" t="str">
        <x:v>EUR</x:v>
      </x:c>
      <x:c r="E26" s="17" t="str">
        <x:v>ROI</x:v>
      </x:c>
      <x:c r="F26" s="17" t="str">
        <x:v>vključi režijo</x:v>
      </x:c>
    </x:row>
    <x:row r="27">
      <x:c r="A27" s="16" t="str">
        <x:v>Q23</x:v>
      </x:c>
      <x:c r="B27" s="16" t="str">
        <x:v>Finance</x:v>
      </x:c>
      <x:c r="C27" s="16" t="str">
        <x:v>Kaj pomeni monetizirana ura?</x:v>
      </x:c>
      <x:c r="D27" s="16" t="str">
        <x:v>pravilo</x:v>
      </x:c>
      <x:c r="E27" s="16" t="str">
        <x:v>denarni tok</x:v>
      </x:c>
      <x:c r="F27" s="16" t="str">
        <x:v>ločiti od prihranka</x:v>
      </x:c>
    </x:row>
    <x:row r="28">
      <x:c r="A28" s="17" t="str">
        <x:v>Q24</x:v>
      </x:c>
      <x:c r="B28" s="17" t="str">
        <x:v>Projekt</x:v>
      </x:c>
      <x:c r="C28" s="17" t="str">
        <x:v>Kdo je lastnik pilota?</x:v>
      </x:c>
      <x:c r="D28" s="17" t="str">
        <x:v>oseba</x:v>
      </x:c>
      <x:c r="E28" s="17" t="str">
        <x:v>upravljanje</x:v>
      </x:c>
      <x:c r="F28" s="17" t="str">
        <x:v>časovna alokacija</x:v>
      </x:c>
    </x:row>
    <x:row r="29">
      <x:c r="A29" s="16" t="str">
        <x:v>Q25</x:v>
      </x:c>
      <x:c r="B29" s="16" t="str">
        <x:v>Projekt</x:v>
      </x:c>
      <x:c r="C29" s="16" t="str">
        <x:v>Kateri štirje KPI odločajo o širitvi?</x:v>
      </x:c>
      <x:c r="D29" s="16" t="str">
        <x:v>seznam</x:v>
      </x:c>
      <x:c r="E29" s="16" t="str">
        <x:v>meritev</x:v>
      </x:c>
      <x:c r="F29" s="16" t="str">
        <x:v>baseline + cilj</x:v>
      </x:c>
    </x:row>
    <x:row r="30">
      <x:c r="A30" s="17" t="str">
        <x:v>Q26</x:v>
      </x:c>
      <x:c r="B30" s="17" t="str">
        <x:v>Projekt</x:v>
      </x:c>
      <x:c r="C30" s="17" t="str">
        <x:v>Katere stranke niso primerne za prvi val?</x:v>
      </x:c>
      <x:c r="D30" s="17" t="str">
        <x:v>seznam</x:v>
      </x:c>
      <x:c r="E30" s="17" t="str">
        <x:v>tveganje</x:v>
      </x:c>
      <x:c r="F30" s="17" t="str">
        <x:v>razlog</x:v>
      </x:c>
    </x:row>
    <x:row r="31">
      <x:c r="A31" s="16" t="str">
        <x:v>Q27</x:v>
      </x:c>
      <x:c r="B31" s="16" t="str">
        <x:v>Dobavitelj</x:v>
      </x:c>
      <x:c r="C31" s="16" t="str">
        <x:v>Kaj je vključeno v TCO na 1/3 leta?</x:v>
      </x:c>
      <x:c r="D31" s="16" t="str">
        <x:v>EUR/kategorije</x:v>
      </x:c>
      <x:c r="E31" s="16" t="str">
        <x:v>ekonomika</x:v>
      </x:c>
      <x:c r="F31" s="16" t="str">
        <x:v>pisna ponudba</x:v>
      </x:c>
    </x:row>
    <x:row r="32">
      <x:c r="A32" s="17" t="str">
        <x:v>Q28</x:v>
      </x:c>
      <x:c r="B32" s="17" t="str">
        <x:v>Dobavitelj</x:v>
      </x:c>
      <x:c r="C32" s="17" t="str">
        <x:v>Kateri moduli/paketi so na bazo ali družbo?</x:v>
      </x:c>
      <x:c r="D32" s="17" t="str">
        <x:v>matrika</x:v>
      </x:c>
      <x:c r="E32" s="17" t="str">
        <x:v>skaliranje stroška</x:v>
      </x:c>
      <x:c r="F32" s="17" t="str">
        <x:v>pisna potrditev</x:v>
      </x:c>
    </x:row>
    <x:row r="33">
      <x:c r="A33" s="16" t="str">
        <x:v>Q29</x:v>
      </x:c>
      <x:c r="B33" s="16" t="str">
        <x:v>Dobavitelj</x:v>
      </x:c>
      <x:c r="C33" s="16" t="str">
        <x:v>Kateri KPI se merijo nativno?</x:v>
      </x:c>
      <x:c r="D33" s="16" t="str">
        <x:v>matrika</x:v>
      </x:c>
      <x:c r="E33" s="16" t="str">
        <x:v>dokaz vrednosti</x:v>
      </x:c>
      <x:c r="F33" s="16" t="str">
        <x:v>izvoz/API</x:v>
      </x:c>
    </x:row>
    <x:row r="34">
      <x:c r="A34" s="17" t="str">
        <x:v>Q30</x:v>
      </x:c>
      <x:c r="B34" s="17" t="str">
        <x:v>Dobavitelj</x:v>
      </x:c>
      <x:c r="C34" s="17" t="str">
        <x:v>Kakšen je plan pripravljenosti e-račun 2028?</x:v>
      </x:c>
      <x:c r="D34" s="17" t="str">
        <x:v>časovnica</x:v>
      </x:c>
      <x:c r="E34" s="17" t="str">
        <x:v>regulatorno tveganje</x:v>
      </x:c>
      <x:c r="F34" s="17" t="str">
        <x:v>milestone-i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20" hidden="0" customWidth="1"/>
    <x:col min="4" max="4" width="22" hidden="0" customWidth="1"/>
    <x:col min="5" max="5" width="18" hidden="0" customWidth="1"/>
    <x:col min="6" max="6" width="24" hidden="0" customWidth="1"/>
    <x:col min="7" max="7" width="40" hidden="0" customWidth="1"/>
  </x:cols>
  <x:sheetData>
    <x:row r="1" ht="30" customHeight="1">
      <x:c r="A1" s="3" t="str">
        <x:v>Regulatorni koledar</x:v>
      </x:c>
    </x:row>
    <x:row r="2" ht="34" customHeight="1">
      <x:c r="A2" s="7" t="str">
        <x:v>Roki se vedno preverijo na aktualnem uradnem viru; tabela je upravljavski okvir.</x:v>
      </x:c>
    </x:row>
    <x:row r="4" ht="28" customHeight="1">
      <x:c r="A4" s="12" t="str">
        <x:v>Frekvenca/datum</x:v>
      </x:c>
      <x:c r="B4" s="12" t="str">
        <x:v>Obveznost</x:v>
      </x:c>
      <x:c r="C4" s="12" t="str">
        <x:v>Okvir</x:v>
      </x:c>
      <x:c r="D4" s="12" t="str">
        <x:v>Rok</x:v>
      </x:c>
      <x:c r="E4" s="12" t="str">
        <x:v>Pregled</x:v>
      </x:c>
      <x:c r="F4" s="12" t="str">
        <x:v>Vir</x:v>
      </x:c>
      <x:c r="G4" s="12" t="str">
        <x:v>Opomba</x:v>
      </x:c>
    </x:row>
    <x:row r="5">
      <x:c r="A5" s="16" t="str">
        <x:v>Mesečno</x:v>
      </x:c>
      <x:c r="B5" s="16" t="str">
        <x:v>DDV/plače/drugi obračuni</x:v>
      </x:c>
      <x:c r="C5" s="16" t="str">
        <x:v>FURS/zakonodaja</x:v>
      </x:c>
      <x:c r="D5" s="16" t="str">
        <x:v>rok po statusu zavezanca</x:v>
      </x:c>
      <x:c r="E5" s="16" t="str">
        <x:v>dnevni/mesečni</x:v>
      </x:c>
      <x:c r="F5" s="16" t="str">
        <x:v>uradni koledar</x:v>
      </x:c>
      <x:c r="G5" s="16" t="str">
        <x:v>roki se vzdržujejo dinamično</x:v>
      </x:c>
    </x:row>
    <x:row r="6">
      <x:c r="A6" s="17" t="str">
        <x:v>Četrtletno</x:v>
      </x:c>
      <x:c r="B6" s="17" t="str">
        <x:v>izbrani DDV/poročili cikli</x:v>
      </x:c>
      <x:c r="C6" s="17" t="str">
        <x:v>FURS/Banke/SURS</x:v>
      </x:c>
      <x:c r="D6" s="17" t="str">
        <x:v>odvisno od zavezanca</x:v>
      </x:c>
      <x:c r="E6" s="17" t="str">
        <x:v>mesečni pregled</x:v>
      </x:c>
      <x:c r="F6" s="17" t="str">
        <x:v>uradni vir</x:v>
      </x:c>
      <x:c r="G6" s="17" t="str">
        <x:v>ne uporabljaj statičnega roka brez preverjanja</x:v>
      </x:c>
    </x:row>
    <x:row r="7">
      <x:c r="A7" s="16" t="str">
        <x:v>Letno</x:v>
      </x:c>
      <x:c r="B7" s="16" t="str">
        <x:v>letno poročilo in davčni obračun</x:v>
      </x:c>
      <x:c r="C7" s="16" t="str">
        <x:v>AJPES/FURS</x:v>
      </x:c>
      <x:c r="D7" s="16" t="str">
        <x:v>vsako leto preveriti</x:v>
      </x:c>
      <x:c r="E7" s="16" t="str">
        <x:v>mesečno od Q4</x:v>
      </x:c>
      <x:c r="F7" s="16" t="str">
        <x:v>uradni vir</x:v>
      </x:c>
      <x:c r="G7" s="16" t="str">
        <x:v>sezonski vrh</x:v>
      </x:c>
    </x:row>
    <x:row r="8">
      <x:c r="A8" s="17" t="str">
        <x:v>Stalno</x:v>
      </x:c>
      <x:c r="B8" s="17" t="str">
        <x:v>AML/KYC in ocena tveganja</x:v>
      </x:c>
      <x:c r="C8" s="17" t="str">
        <x:v>ZPPDFT-2</x:v>
      </x:c>
      <x:c r="D8" s="17" t="str">
        <x:v>ob dogodku/periodično</x:v>
      </x:c>
      <x:c r="E8" s="17" t="str">
        <x:v>četrtletno</x:v>
      </x:c>
      <x:c r="F8" s="17" t="str">
        <x:v>GOV.SI</x:v>
      </x:c>
      <x:c r="G8" s="17" t="str">
        <x:v>dokazljiv dosje</x:v>
      </x:c>
    </x:row>
    <x:row r="9">
      <x:c r="A9" s="16" t="str">
        <x:v>Stalno</x:v>
      </x:c>
      <x:c r="B9" s="16" t="str">
        <x:v>GDPR in obdelava podatkov</x:v>
      </x:c>
      <x:c r="C9" s="16" t="str">
        <x:v>GDPR/ZVOP-2</x:v>
      </x:c>
      <x:c r="D9" s="16" t="str">
        <x:v>stalno</x:v>
      </x:c>
      <x:c r="E9" s="16" t="str">
        <x:v>letno + ob spremembi</x:v>
      </x:c>
      <x:c r="F9" s="16" t="str">
        <x:v>IP-RS</x:v>
      </x:c>
      <x:c r="G9" s="16" t="str">
        <x:v>člen 28, podizvajalci, incidenti</x:v>
      </x:c>
    </x:row>
    <x:row r="10">
      <x:c r="A10" s="17" t="str">
        <x:v>2026-2027</x:v>
      </x:c>
      <x:c r="B10" s="17" t="str">
        <x:v>priprava na domači B2B e-račun</x:v>
      </x:c>
      <x:c r="C10" s="17" t="str">
        <x:v>ZIERDED</x:v>
      </x:c>
      <x:c r="D10" s="17" t="str">
        <x:v>interni program</x:v>
      </x:c>
      <x:c r="E10" s="17" t="str">
        <x:v>mesečno</x:v>
      </x:c>
      <x:c r="F10" s="17" t="str">
        <x:v>PISRS/GOV.SI</x:v>
      </x:c>
      <x:c r="G10" s="17" t="str">
        <x:v>podatki, poti, partnerji, testiranje</x:v>
      </x:c>
    </x:row>
    <x:row r="11">
      <x:c r="A11" s="16" t="str">
        <x:v>2028-01-01</x:v>
      </x:c>
      <x:c r="B11" s="16" t="str">
        <x:v>obvezna domača B2B izmenjava strukturiranih e-računov</x:v>
      </x:c>
      <x:c r="C11" s="16" t="str">
        <x:v>ZIERDED</x:v>
      </x:c>
      <x:c r="D11" s="16" t="str">
        <x:v>zakonski začetek</x:v>
      </x:c>
      <x:c r="E11" s="16" t="str">
        <x:v>tedensko v prehodu</x:v>
      </x:c>
      <x:c r="F11" s="16" t="str">
        <x:v>Uradni list/PISRS</x:v>
      </x:c>
      <x:c r="G11" s="16" t="str">
        <x:v>PDF sam ni strukturirani e-račun</x:v>
      </x:c>
    </x:row>
    <x:row r="12">
      <x:c r="A12" s="17" t="str">
        <x:v>do 2030</x:v>
      </x:c>
      <x:c r="B12" s="17" t="str">
        <x:v>evropski ViDA prehod</x:v>
      </x:c>
      <x:c r="C12" s="17" t="str">
        <x:v>EU 2025/516+517</x:v>
      </x:c>
      <x:c r="D12" s="17" t="str">
        <x:v>po EU/nacionalnih fazah</x:v>
      </x:c>
      <x:c r="E12" s="17" t="str">
        <x:v>četrtletno</x:v>
      </x:c>
      <x:c r="F12" s="17" t="str">
        <x:v>EUR-Lex</x:v>
      </x:c>
      <x:c r="G12" s="17" t="str">
        <x:v>čezmejni tokovi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16" hidden="0" customWidth="1"/>
    <x:col min="5" max="5" width="26" hidden="0" customWidth="1"/>
    <x:col min="6" max="6" width="30" hidden="0" customWidth="1"/>
    <x:col min="7" max="7" width="14" hidden="0" customWidth="1"/>
  </x:cols>
  <x:sheetData>
    <x:row r="1" ht="30" customHeight="1">
      <x:c r="A1" s="3" t="str">
        <x:v>Register integracij</x:v>
      </x:c>
    </x:row>
    <x:row r="2" ht="34" customHeight="1">
      <x:c r="A2" s="7" t="str">
        <x:v>Za vsako povezavo določite lastnika podatka, kontrolno vsoto in obravnavo napak.</x:v>
      </x:c>
    </x:row>
    <x:row r="4" ht="28" customHeight="1">
      <x:c r="A4" s="12" t="str">
        <x:v>Tok</x:v>
      </x:c>
      <x:c r="B4" s="12" t="str">
        <x:v>Sistem</x:v>
      </x:c>
      <x:c r="C4" s="12" t="str">
        <x:v>Podatki</x:v>
      </x:c>
      <x:c r="D4" s="12" t="str">
        <x:v>Frekvenca</x:v>
      </x:c>
      <x:c r="E4" s="12" t="str">
        <x:v>Ključ</x:v>
      </x:c>
      <x:c r="F4" s="12" t="str">
        <x:v>Izjema</x:v>
      </x:c>
      <x:c r="G4" s="12" t="str">
        <x:v>Kritičnost</x:v>
      </x:c>
    </x:row>
    <x:row r="5">
      <x:c r="A5" s="16" t="str">
        <x:v>e-računi</x:v>
      </x:c>
      <x:c r="B5" s="16" t="str">
        <x:v>ponudnik e-poti/PEPPOL</x:v>
      </x:c>
      <x:c r="C5" s="16" t="str">
        <x:v>strukturirani račun</x:v>
      </x:c>
      <x:c r="D5" s="16" t="str">
        <x:v>dnevno</x:v>
      </x:c>
      <x:c r="E5" s="16" t="str">
        <x:v>ID računa + partner</x:v>
      </x:c>
      <x:c r="F5" s="16" t="str">
        <x:v>duplikat/format/status</x:v>
      </x:c>
      <x:c r="G5" s="16" t="str">
        <x:v>kritična</x:v>
      </x:c>
    </x:row>
    <x:row r="6">
      <x:c r="A6" s="17" t="str">
        <x:v>Banke</x:v>
      </x:c>
      <x:c r="B6" s="17" t="str">
        <x:v>banka/PSD/izpisek</x:v>
      </x:c>
      <x:c r="C6" s="17" t="str">
        <x:v>postavke in stanje</x:v>
      </x:c>
      <x:c r="D6" s="17" t="str">
        <x:v>dnevno</x:v>
      </x:c>
      <x:c r="E6" s="17" t="str">
        <x:v>referenca + znesek</x:v>
      </x:c>
      <x:c r="F6" s="17" t="str">
        <x:v>delna/večkratna plačila</x:v>
      </x:c>
      <x:c r="G6" s="17" t="str">
        <x:v>kritična</x:v>
      </x:c>
    </x:row>
    <x:row r="7">
      <x:c r="A7" s="16" t="str">
        <x:v>E-pošta</x:v>
      </x:c>
      <x:c r="B7" s="16" t="str">
        <x:v>poštni strežnik</x:v>
      </x:c>
      <x:c r="C7" s="16" t="str">
        <x:v>PDF/priloge</x:v>
      </x:c>
      <x:c r="D7" s="16" t="str">
        <x:v>stalno</x:v>
      </x:c>
      <x:c r="E7" s="16" t="str">
        <x:v>namenski naslov + podjetje</x:v>
      </x:c>
      <x:c r="F7" s="16" t="str">
        <x:v>napačna pripadnost</x:v>
      </x:c>
      <x:c r="G7" s="16" t="str">
        <x:v>visoka</x:v>
      </x:c>
    </x:row>
    <x:row r="8">
      <x:c r="A8" s="17" t="str">
        <x:v>DMS/e-hramba</x:v>
      </x:c>
      <x:c r="B8" s="17" t="str">
        <x:v>dokumentni sistem</x:v>
      </x:c>
      <x:c r="C8" s="17" t="str">
        <x:v>dokument + metapodatki</x:v>
      </x:c>
      <x:c r="D8" s="17" t="str">
        <x:v>stalno</x:v>
      </x:c>
      <x:c r="E8" s="17" t="str">
        <x:v>unikatni ID</x:v>
      </x:c>
      <x:c r="F8" s="17" t="str">
        <x:v>verzija/retencija</x:v>
      </x:c>
      <x:c r="G8" s="17" t="str">
        <x:v>kritična</x:v>
      </x:c>
    </x:row>
    <x:row r="9">
      <x:c r="A9" s="16" t="str">
        <x:v>Plače/čas</x:v>
      </x:c>
      <x:c r="B9" s="16" t="str">
        <x:v>HR/registracija časa</x:v>
      </x:c>
      <x:c r="C9" s="16" t="str">
        <x:v>ure, odsotnosti, dogodki</x:v>
      </x:c>
      <x:c r="D9" s="16" t="str">
        <x:v>mesečno</x:v>
      </x:c>
      <x:c r="E9" s="16" t="str">
        <x:v>zaposleni + obdobje</x:v>
      </x:c>
      <x:c r="F9" s="16" t="str">
        <x:v>pozna sprememba</x:v>
      </x:c>
      <x:c r="G9" s="16" t="str">
        <x:v>kritična</x:v>
      </x:c>
    </x:row>
    <x:row r="10">
      <x:c r="A10" s="17" t="str">
        <x:v>POS/e-trgovina</x:v>
      </x:c>
      <x:c r="B10" s="17" t="str">
        <x:v>prodajni sistem</x:v>
      </x:c>
      <x:c r="C10" s="17" t="str">
        <x:v>računi, plačila, zaloga</x:v>
      </x:c>
      <x:c r="D10" s="17" t="str">
        <x:v>dnevno</x:v>
      </x:c>
      <x:c r="E10" s="17" t="str">
        <x:v>transakcija + artikel</x:v>
      </x:c>
      <x:c r="F10" s="17" t="str">
        <x:v>storno/časovni zamik</x:v>
      </x:c>
      <x:c r="G10" s="17" t="str">
        <x:v>visoka</x:v>
      </x:c>
    </x:row>
    <x:row r="11">
      <x:c r="A11" s="16" t="str">
        <x:v>CRM/workflow</x:v>
      </x:c>
      <x:c r="B11" s="16" t="str">
        <x:v>upravljanje prakse</x:v>
      </x:c>
      <x:c r="C11" s="16" t="str">
        <x:v>stranke, naloge, SLA</x:v>
      </x:c>
      <x:c r="D11" s="16" t="str">
        <x:v>dnevno</x:v>
      </x:c>
      <x:c r="E11" s="16" t="str">
        <x:v>stranka + naloga</x:v>
      </x:c>
      <x:c r="F11" s="16" t="str">
        <x:v>dvojni status</x:v>
      </x:c>
      <x:c r="G11" s="16" t="str">
        <x:v>srednja</x:v>
      </x:c>
    </x:row>
    <x:row r="12">
      <x:c r="A12" s="17" t="str">
        <x:v>BI/DWH</x:v>
      </x:c>
      <x:c r="B12" s="17" t="str">
        <x:v>analitična platforma</x:v>
      </x:c>
      <x:c r="C12" s="17" t="str">
        <x:v>GL/KPI/dimenzije</x:v>
      </x:c>
      <x:c r="D12" s="17" t="str">
        <x:v>dnevno/mesečno</x:v>
      </x:c>
      <x:c r="E12" s="17" t="str">
        <x:v>obdobje + konto + dimenzija</x:v>
      </x:c>
      <x:c r="F12" s="17" t="str">
        <x:v>sprememba definicije</x:v>
      </x:c>
      <x:c r="G12" s="17" t="str">
        <x:v>srednja</x:v>
      </x:c>
    </x:row>
    <x:row r="13">
      <x:c r="A13" s="16" t="str">
        <x:v>FURS/eDavki</x:v>
      </x:c>
      <x:c r="B13" s="16" t="str">
        <x:v>državni portal/storitev</x:v>
      </x:c>
      <x:c r="C13" s="16" t="str">
        <x:v>obračuni in statusi</x:v>
      </x:c>
      <x:c r="D13" s="16" t="str">
        <x:v>po roku</x:v>
      </x:c>
      <x:c r="E13" s="16" t="str">
        <x:v>oddaja + zavezanec</x:v>
      </x:c>
      <x:c r="F13" s="16" t="str">
        <x:v>zavrnitev</x:v>
      </x:c>
      <x:c r="G13" s="16" t="str">
        <x:v>kritična</x:v>
      </x:c>
    </x:row>
    <x:row r="14">
      <x:c r="A14" s="17" t="str">
        <x:v>AJPES</x:v>
      </x:c>
      <x:c r="B14" s="17" t="str">
        <x:v>državni portal</x:v>
      </x:c>
      <x:c r="C14" s="17" t="str">
        <x:v>letna poročila</x:v>
      </x:c>
      <x:c r="D14" s="17" t="str">
        <x:v>letno</x:v>
      </x:c>
      <x:c r="E14" s="17" t="str">
        <x:v>subjekt + leto</x:v>
      </x:c>
      <x:c r="F14" s="17" t="str">
        <x:v>kontrolna napaka</x:v>
      </x:c>
      <x:c r="G14" s="17" t="str">
        <x:v>kritična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0" hidden="0" customWidth="1"/>
    <x:col min="4" max="4" width="16" hidden="0" customWidth="1"/>
    <x:col min="5" max="5" width="10" hidden="0" customWidth="1"/>
    <x:col min="6" max="6" width="20" hidden="0" customWidth="1"/>
    <x:col min="7" max="7" width="70" hidden="0" customWidth="1"/>
  </x:cols>
  <x:sheetData>
    <x:row r="1" ht="30" customHeight="1">
      <x:c r="A1" s="3" t="str">
        <x:v>Register virov</x:v>
      </x:c>
    </x:row>
    <x:row r="2" ht="34" customHeight="1">
      <x:c r="A2" s="7" t="str">
        <x:v>Dokazni razredi: A primarni/uradni; B raziskovalni; C orientacijski; H hipoteza.</x:v>
      </x:c>
    </x:row>
    <x:row r="4" ht="28" customHeight="1">
      <x:c r="A4" s="12" t="str">
        <x:v>ID</x:v>
      </x:c>
      <x:c r="B4" s="12" t="str">
        <x:v>Organizacija</x:v>
      </x:c>
      <x:c r="C4" s="12" t="str">
        <x:v>Naslov</x:v>
      </x:c>
      <x:c r="D4" s="12" t="str">
        <x:v>Datum</x:v>
      </x:c>
      <x:c r="E4" s="12" t="str">
        <x:v>Razred</x:v>
      </x:c>
      <x:c r="F4" s="12" t="str">
        <x:v>Tema</x:v>
      </x:c>
      <x:c r="G4" s="12" t="str">
        <x:v>URL</x:v>
      </x:c>
    </x:row>
    <x:row r="5" ht="32" customHeight="1">
      <x:c r="A5" s="16" t="str">
        <x:v>S01</x:v>
      </x:c>
      <x:c r="B5" s="16" t="str">
        <x:v>GZS ZRS</x:v>
      </x:c>
      <x:c r="C5" s="16" t="str">
        <x:v>Razvoj in številčni prikaz panoge 2025</x:v>
      </x:c>
      <x:c r="D5" s="16" t="str">
        <x:v>2026-07-15</x:v>
      </x:c>
      <x:c r="E5" s="16" t="str">
        <x:v>A</x:v>
      </x:c>
      <x:c r="F5" s="16" t="str">
        <x:v>trg/ekonomika</x:v>
      </x:c>
      <x:c r="G5" s="58" t="str">
        <x:v>https://www.gzs.si/zbornica_racunovodskih_servisov/vsebina/Za-podjetja/Prikaz-dejavnosti/Razvoj-in-%C5%A1tevil%C4%8Dni-prikaz-panoge-2025</x:v>
      </x:c>
    </x:row>
    <x:row r="6" ht="32" customHeight="1">
      <x:c r="A6" s="17" t="str">
        <x:v>S02</x:v>
      </x:c>
      <x:c r="B6" s="17" t="str">
        <x:v>GZS ZRS</x:v>
      </x:c>
      <x:c r="C6" s="17" t="str">
        <x:v>Standard izvajalcev računovodskih storitev</x:v>
      </x:c>
      <x:c r="D6" s="17" t="str">
        <x:v>2015+</x:v>
      </x:c>
      <x:c r="E6" s="17" t="str">
        <x:v>A</x:v>
      </x:c>
      <x:c r="F6" s="17" t="str">
        <x:v>kakovost/regulacija</x:v>
      </x:c>
      <x:c r="G6" s="59" t="str">
        <x:v>https://www.gzs.si/zbornica_racunovodskih_servisov/vsebina/Zastopanje-interesov/Standard-izvajalcev-ra%C4%8Dunovodskih-storitev</x:v>
      </x:c>
    </x:row>
    <x:row r="7" ht="32" customHeight="1">
      <x:c r="A7" s="16" t="str">
        <x:v>S03</x:v>
      </x:c>
      <x:c r="B7" s="16" t="str">
        <x:v>ZRS/AJPES</x:v>
      </x:c>
      <x:c r="C7" s="16" t="str">
        <x:v>Kdaj in kako zamenjati izvajalca</x:v>
      </x:c>
      <x:c r="D7" s="16" t="str">
        <x:v>n.d.</x:v>
      </x:c>
      <x:c r="E7" s="16" t="str">
        <x:v>B</x:v>
      </x:c>
      <x:c r="F7" s="16" t="str">
        <x:v>migracija</x:v>
      </x:c>
      <x:c r="G7" s="58" t="str">
        <x:v>https://www.ajpes.si/doc/AJPES/Publikacije/Kdaj_in_kako_zamenjati_izvajalca_racunovodskih_storitev.pdf</x:v>
      </x:c>
    </x:row>
    <x:row r="8" ht="32" customHeight="1">
      <x:c r="A8" s="17" t="str">
        <x:v>S04</x:v>
      </x:c>
      <x:c r="B8" s="17" t="str">
        <x:v>GOV.SI</x:v>
      </x:c>
      <x:c r="C8" s="17" t="str">
        <x:v>Preprečevanje pranja denarja</x:v>
      </x:c>
      <x:c r="D8" s="17" t="str">
        <x:v>aktualno</x:v>
      </x:c>
      <x:c r="E8" s="17" t="str">
        <x:v>A</x:v>
      </x:c>
      <x:c r="F8" s="17" t="str">
        <x:v>AML</x:v>
      </x:c>
      <x:c r="G8" s="59" t="str">
        <x:v>https://www.gov.si/teme/preprecevanje-pranja-denarja/</x:v>
      </x:c>
    </x:row>
    <x:row r="9" ht="32" customHeight="1">
      <x:c r="A9" s="16" t="str">
        <x:v>S05</x:v>
      </x:c>
      <x:c r="B9" s="16" t="str">
        <x:v>IP-RS</x:v>
      </x:c>
      <x:c r="C9" s="16" t="str">
        <x:v>Pogodba računovodski servis-naročnik</x:v>
      </x:c>
      <x:c r="D9" s="16" t="str">
        <x:v>GDPR</x:v>
      </x:c>
      <x:c r="E9" s="16" t="str">
        <x:v>A/B</x:v>
      </x:c>
      <x:c r="F9" s="16" t="str">
        <x:v>zasebnost</x:v>
      </x:c>
      <x:c r="G9" s="58" t="str">
        <x:v>https://www.ip-rs.si/mnenja-gdpr/60489fb8de73b</x:v>
      </x:c>
    </x:row>
    <x:row r="10" ht="32" customHeight="1">
      <x:c r="A10" s="17" t="str">
        <x:v>S06</x:v>
      </x:c>
      <x:c r="B10" s="17" t="str">
        <x:v>Uradni list</x:v>
      </x:c>
      <x:c r="C10" s="17" t="str">
        <x:v>ZIERDED</x:v>
      </x:c>
      <x:c r="D10" s="17" t="str">
        <x:v>2025</x:v>
      </x:c>
      <x:c r="E10" s="17" t="str">
        <x:v>A</x:v>
      </x:c>
      <x:c r="F10" s="17" t="str">
        <x:v>e-račun</x:v>
      </x:c>
      <x:c r="G10" s="59" t="str">
        <x:v>https://www.uradni-list.si/glasilo-uradni-list-rs/vsebina/2025-01-3032</x:v>
      </x:c>
    </x:row>
    <x:row r="11" ht="32" customHeight="1">
      <x:c r="A11" s="16" t="str">
        <x:v>S07</x:v>
      </x:c>
      <x:c r="B11" s="16" t="str">
        <x:v>PISRS</x:v>
      </x:c>
      <x:c r="C11" s="16" t="str">
        <x:v>ZIERDED</x:v>
      </x:c>
      <x:c r="D11" s="16" t="str">
        <x:v>2025</x:v>
      </x:c>
      <x:c r="E11" s="16" t="str">
        <x:v>A</x:v>
      </x:c>
      <x:c r="F11" s="16" t="str">
        <x:v>e-račun</x:v>
      </x:c>
      <x:c r="G11" s="58" t="str">
        <x:v>https://pisrs.si/pregledPredpisa?id=ZAKO9033</x:v>
      </x:c>
    </x:row>
    <x:row r="12" ht="32" customHeight="1">
      <x:c r="A12" s="17" t="str">
        <x:v>S08</x:v>
      </x:c>
      <x:c r="B12" s="17" t="str">
        <x:v>GOV.SI</x:v>
      </x:c>
      <x:c r="C12" s="17" t="str">
        <x:v>Državni zbor sprejel ZIERDED</x:v>
      </x:c>
      <x:c r="D12" s="17" t="str">
        <x:v>2025-10-23</x:v>
      </x:c>
      <x:c r="E12" s="17" t="str">
        <x:v>A</x:v>
      </x:c>
      <x:c r="F12" s="17" t="str">
        <x:v>e-račun</x:v>
      </x:c>
      <x:c r="G12" s="59" t="str">
        <x:v>https://www.gov.si/novice/2025-10-23-drzavni-zbor-sprejel-zakon-o-izmenjavi-elektronskih-racunov-in-drugih-elektronskih-dokumentov/</x:v>
      </x:c>
    </x:row>
    <x:row r="13" ht="32" customHeight="1">
      <x:c r="A13" s="16" t="str">
        <x:v>S09</x:v>
      </x:c>
      <x:c r="B13" s="16" t="str">
        <x:v>Datalab</x:v>
      </x:c>
      <x:c r="C13" s="16" t="str">
        <x:v>PANTHEON Accounting</x:v>
      </x:c>
      <x:c r="D13" s="16" t="str">
        <x:v>2026 pregled</x:v>
      </x:c>
      <x:c r="E13" s="16" t="str">
        <x:v>A</x:v>
      </x:c>
      <x:c r="F13" s="16" t="str">
        <x:v>produkt</x:v>
      </x:c>
      <x:c r="G13" s="58" t="str">
        <x:v>https://www.datalab.si/pantheon/accounting/</x:v>
      </x:c>
    </x:row>
    <x:row r="14" ht="32" customHeight="1">
      <x:c r="A14" s="17" t="str">
        <x:v>S10</x:v>
      </x:c>
      <x:c r="B14" s="17" t="str">
        <x:v>Datalab</x:v>
      </x:c>
      <x:c r="C14" s="17" t="str">
        <x:v>eKnjižbe</x:v>
      </x:c>
      <x:c r="D14" s="17" t="str">
        <x:v>2026 pregled</x:v>
      </x:c>
      <x:c r="E14" s="17" t="str">
        <x:v>A</x:v>
      </x:c>
      <x:c r="F14" s="17" t="str">
        <x:v>OCR/AI</x:v>
      </x:c>
      <x:c r="G14" s="59" t="str">
        <x:v>https://www.datalab.si/eknjizbe/</x:v>
      </x:c>
    </x:row>
    <x:row r="15" ht="32" customHeight="1">
      <x:c r="A15" s="16" t="str">
        <x:v>S11</x:v>
      </x:c>
      <x:c r="B15" s="16" t="str">
        <x:v>Datalab</x:v>
      </x:c>
      <x:c r="C15" s="16" t="str">
        <x:v>eRačun</x:v>
      </x:c>
      <x:c r="D15" s="16" t="str">
        <x:v>2026 pregled</x:v>
      </x:c>
      <x:c r="E15" s="16" t="str">
        <x:v>A</x:v>
      </x:c>
      <x:c r="F15" s="16" t="str">
        <x:v>e-poslovanje</x:v>
      </x:c>
      <x:c r="G15" s="58" t="str">
        <x:v>https://www.datalab.si/eposlovanje/eracun/</x:v>
      </x:c>
    </x:row>
    <x:row r="16" ht="32" customHeight="1">
      <x:c r="A16" s="17" t="str">
        <x:v>S12</x:v>
      </x:c>
      <x:c r="B16" s="17" t="str">
        <x:v>Datalab</x:v>
      </x:c>
      <x:c r="C16" s="17" t="str">
        <x:v>Cloud Business Ready</x:v>
      </x:c>
      <x:c r="D16" s="17" t="str">
        <x:v>do 2026-09-30</x:v>
      </x:c>
      <x:c r="E16" s="17" t="str">
        <x:v>A</x:v>
      </x:c>
      <x:c r="F16" s="17" t="str">
        <x:v>cena/uvedba</x:v>
      </x:c>
      <x:c r="G16" s="59" t="str">
        <x:v>https://www.datalab.si/pantheon-cloud-business-ready/</x:v>
      </x:c>
    </x:row>
    <x:row r="17" ht="32" customHeight="1">
      <x:c r="A17" s="16" t="str">
        <x:v>S13</x:v>
      </x:c>
      <x:c r="B17" s="16" t="str">
        <x:v>Datalab</x:v>
      </x:c>
      <x:c r="C17" s="16" t="str">
        <x:v>Pogosta vprašanja</x:v>
      </x:c>
      <x:c r="D17" s="16" t="str">
        <x:v>2026 pregled</x:v>
      </x:c>
      <x:c r="E17" s="16" t="str">
        <x:v>A</x:v>
      </x:c>
      <x:c r="F17" s="16" t="str">
        <x:v>podpora/TCO</x:v>
      </x:c>
      <x:c r="G17" s="58" t="str">
        <x:v>https://www.datalab.si/podpora/pogosta-vprasanja/</x:v>
      </x:c>
    </x:row>
    <x:row r="18" ht="32" customHeight="1">
      <x:c r="A18" s="17" t="str">
        <x:v>S14</x:v>
      </x:c>
      <x:c r="B18" s="17" t="str">
        <x:v>Financial Cents</x:v>
      </x:c>
      <x:c r="C18" s="17" t="str">
        <x:v>State of Accounting Workflow and Automation</x:v>
      </x:c>
      <x:c r="D18" s="17" t="str">
        <x:v>2025/2026</x:v>
      </x:c>
      <x:c r="E18" s="17" t="str">
        <x:v>B</x:v>
      </x:c>
      <x:c r="F18" s="17" t="str">
        <x:v>workflow</x:v>
      </x:c>
      <x:c r="G18" s="59" t="str">
        <x:v>https://financial-cents.com/resources/articles/2025-report-state-of-accounting-workflow-and-automation/</x:v>
      </x:c>
    </x:row>
    <x:row r="19" ht="32" customHeight="1">
      <x:c r="A19" s="16" t="str">
        <x:v>S15</x:v>
      </x:c>
      <x:c r="B19" s="16" t="str">
        <x:v>Thomson Reuters</x:v>
      </x:c>
      <x:c r="C19" s="16" t="str">
        <x:v>2026 State of Tax Professionals</x:v>
      </x:c>
      <x:c r="D19" s="16" t="str">
        <x:v>2026</x:v>
      </x:c>
      <x:c r="E19" s="16" t="str">
        <x:v>B</x:v>
      </x:c>
      <x:c r="F19" s="16" t="str">
        <x:v>talent/tehnologija</x:v>
      </x:c>
      <x:c r="G19" s="58" t="str">
        <x:v>https://www.thomsonreuters.com/en-us/posts/wp-content/uploads/sites/20/2026/06/2026-State-of-Tax-Professionals-Report.pdf</x:v>
      </x:c>
    </x:row>
    <x:row r="20" ht="32" customHeight="1">
      <x:c r="A20" s="17" t="str">
        <x:v>S16</x:v>
      </x:c>
      <x:c r="B20" s="17" t="str">
        <x:v>Datalab</x:v>
      </x:c>
      <x:c r="C20" s="17" t="str">
        <x:v>Proevent case study</x:v>
      </x:c>
      <x:c r="D20" s="17" t="str">
        <x:v>n.d.</x:v>
      </x:c>
      <x:c r="E20" s="17" t="str">
        <x:v>C</x:v>
      </x:c>
      <x:c r="F20" s="17" t="str">
        <x:v>primer</x:v>
      </x:c>
      <x:c r="G20" s="59" t="str">
        <x:v>https://www.datalab.eu/stories/racunovodski-servis-proevent/</x:v>
      </x:c>
    </x:row>
    <x:row r="21" ht="32" customHeight="1">
      <x:c r="A21" s="16" t="str">
        <x:v>S17</x:v>
      </x:c>
      <x:c r="B21" s="16" t="str">
        <x:v>Minimax</x:v>
      </x:c>
      <x:c r="C21" s="16" t="str">
        <x:v>Spletni računovodski program</x:v>
      </x:c>
      <x:c r="D21" s="16" t="str">
        <x:v>2026 pregled</x:v>
      </x:c>
      <x:c r="E21" s="16" t="str">
        <x:v>A/C</x:v>
      </x:c>
      <x:c r="F21" s="16" t="str">
        <x:v>konkurenca</x:v>
      </x:c>
      <x:c r="G21" s="58" t="str">
        <x:v>https://www.minimax.si/</x:v>
      </x:c>
    </x:row>
    <x:row r="22" ht="32" customHeight="1">
      <x:c r="A22" s="17" t="str">
        <x:v>S18</x:v>
      </x:c>
      <x:c r="B22" s="17" t="str">
        <x:v>e-racuni.com</x:v>
      </x:c>
      <x:c r="C22" s="17" t="str">
        <x:v>Za računovodske servise</x:v>
      </x:c>
      <x:c r="D22" s="17" t="str">
        <x:v>2026 pregled</x:v>
      </x:c>
      <x:c r="E22" s="17" t="str">
        <x:v>A/C</x:v>
      </x:c>
      <x:c r="F22" s="17" t="str">
        <x:v>konkurenca</x:v>
      </x:c>
      <x:c r="G22" s="59" t="str">
        <x:v>https://e-racuni.com/siracuni/za-racunovodje/</x:v>
      </x:c>
    </x:row>
    <x:row r="23" ht="32" customHeight="1">
      <x:c r="A23" s="16" t="str">
        <x:v>S19</x:v>
      </x:c>
      <x:c r="B23" s="16" t="str">
        <x:v>Vasco</x:v>
      </x:c>
      <x:c r="C23" s="16" t="str">
        <x:v>Finančno računovodski podsistem</x:v>
      </x:c>
      <x:c r="D23" s="16" t="str">
        <x:v>2026 pregled</x:v>
      </x:c>
      <x:c r="E23" s="16" t="str">
        <x:v>A/C</x:v>
      </x:c>
      <x:c r="F23" s="16" t="str">
        <x:v>konkurenca</x:v>
      </x:c>
      <x:c r="G23" s="58" t="str">
        <x:v>https://www.vasco.si/produkti/financno-racunovodski-podsistem/</x:v>
      </x:c>
    </x:row>
    <x:row r="24" ht="32" customHeight="1">
      <x:c r="A24" s="17" t="str">
        <x:v>S20</x:v>
      </x:c>
      <x:c r="B24" s="17" t="str">
        <x:v>Odoo</x:v>
      </x:c>
      <x:c r="C24" s="17" t="str">
        <x:v>Fiscal localizations 19.0</x:v>
      </x:c>
      <x:c r="D24" s="17" t="str">
        <x:v>2026</x:v>
      </x:c>
      <x:c r="E24" s="17" t="str">
        <x:v>A/C</x:v>
      </x:c>
      <x:c r="F24" s="17" t="str">
        <x:v>globalni benchmark</x:v>
      </x:c>
      <x:c r="G24" s="59" t="str">
        <x:v>https://www.odoo.com/documentation/19.0/applications/finance/fiscal_localizations.html</x:v>
      </x:c>
    </x:row>
    <x:row r="25" ht="32" customHeight="1">
      <x:c r="A25" s="16" t="str">
        <x:v>S21</x:v>
      </x:c>
      <x:c r="B25" s="16" t="str">
        <x:v>Kontiqo</x:v>
      </x:c>
      <x:c r="C25" s="16" t="str">
        <x:v>AI digitalizacija računov</x:v>
      </x:c>
      <x:c r="D25" s="16" t="str">
        <x:v>2026 pregled</x:v>
      </x:c>
      <x:c r="E25" s="16" t="str">
        <x:v>A/C</x:v>
      </x:c>
      <x:c r="F25" s="16" t="str">
        <x:v>specializirani sloj</x:v>
      </x:c>
      <x:c r="G25" s="58" t="str">
        <x:v>https://kontiqo.si/</x:v>
      </x:c>
    </x:row>
    <x:row r="26" ht="32" customHeight="1">
      <x:c r="A26" s="17" t="str">
        <x:v>S22</x:v>
      </x:c>
      <x:c r="B26" s="17" t="str">
        <x:v>EUR-Lex</x:v>
      </x:c>
      <x:c r="C26" s="17" t="str">
        <x:v>Directive EU 2025/516 (ViDA)</x:v>
      </x:c>
      <x:c r="D26" s="17" t="str">
        <x:v>2025</x:v>
      </x:c>
      <x:c r="E26" s="17" t="str">
        <x:v>A</x:v>
      </x:c>
      <x:c r="F26" s="17" t="str">
        <x:v>EU regulativa</x:v>
      </x:c>
      <x:c r="G26" s="59" t="str">
        <x:v>https://eur-lex.europa.eu/legal-content/EN/TXT/PDF/?uri=OJ%3AL_202500516</x:v>
      </x:c>
    </x:row>
    <x:row r="27" ht="32" customHeight="1">
      <x:c r="A27" s="16" t="str">
        <x:v>S23</x:v>
      </x:c>
      <x:c r="B27" s="16" t="str">
        <x:v>IFAC</x:v>
      </x:c>
      <x:c r="C27" s="16" t="str">
        <x:v>Practice Transformation</x:v>
      </x:c>
      <x:c r="D27" s="16" t="str">
        <x:v>aktualno</x:v>
      </x:c>
      <x:c r="E27" s="16" t="str">
        <x:v>B</x:v>
      </x:c>
      <x:c r="F27" s="16" t="str">
        <x:v>upravljanje prakse</x:v>
      </x:c>
      <x:c r="G27" s="58" t="str">
        <x:v>https://www.ifac.org/practicetransformation</x:v>
      </x:c>
    </x:row>
    <x:row r="28" ht="32" customHeight="1">
      <x:c r="A28" s="17" t="str">
        <x:v>S24</x:v>
      </x:c>
      <x:c r="B28" s="17" t="str">
        <x:v>IFAC</x:v>
      </x:c>
      <x:c r="C28" s="17" t="str">
        <x:v>Artificial Intelligence &amp; Technology</x:v>
      </x:c>
      <x:c r="D28" s="17" t="str">
        <x:v>aktualno</x:v>
      </x:c>
      <x:c r="E28" s="17" t="str">
        <x:v>B</x:v>
      </x:c>
      <x:c r="F28" s="17" t="str">
        <x:v>AI</x:v>
      </x:c>
      <x:c r="G28" s="59" t="str">
        <x:v>https://www.ifac.org/knowledge-gateway/artificial-intelligence-technology</x:v>
      </x:c>
    </x:row>
    <x:row r="29" ht="32" customHeight="1">
      <x:c r="A29" s="16" t="str">
        <x:v>S25</x:v>
      </x:c>
      <x:c r="B29" s="16" t="str">
        <x:v>SURS</x:v>
      </x:c>
      <x:c r="C29" s="16" t="str">
        <x:v>Strukturna statistika podjetij 2024</x:v>
      </x:c>
      <x:c r="D29" s="16" t="str">
        <x:v>2026-05</x:v>
      </x:c>
      <x:c r="E29" s="16" t="str">
        <x:v>A</x:v>
      </x:c>
      <x:c r="F29" s="16" t="str">
        <x:v>makro</x:v>
      </x:c>
      <x:c r="G29" s="58" t="str">
        <x:v>https://www.stat.si/StatWeb/News/Index/13704</x:v>
      </x:c>
    </x:row>
    <x:row r="30" ht="32" customHeight="1">
      <x:c r="A30" s="17" t="str">
        <x:v>S26</x:v>
      </x:c>
      <x:c r="B30" s="17" t="str">
        <x:v>SURS SiStat</x:v>
      </x:c>
      <x:c r="C30" s="17" t="str">
        <x:v>Tabela 1450404S</x:v>
      </x:c>
      <x:c r="D30" s="17" t="str">
        <x:v>2026-05-26</x:v>
      </x:c>
      <x:c r="E30" s="17" t="str">
        <x:v>A</x:v>
      </x:c>
      <x:c r="F30" s="17" t="str">
        <x:v>podatkovna validacija</x:v>
      </x:c>
      <x:c r="G30" s="59" t="str">
        <x:v>https://pxweb.stat.si/SiStatData/pxweb/sl/Data/Data/1450404S.px/</x:v>
      </x:c>
    </x:row>
    <x:row r="31" ht="32" customHeight="1">
      <x:c r="A31" s="16" t="str">
        <x:v>S27</x:v>
      </x:c>
      <x:c r="B31" s="16" t="str">
        <x:v>Eurostat</x:v>
      </x:c>
      <x:c r="C31" s="16" t="str">
        <x:v>Structural business statistics overview</x:v>
      </x:c>
      <x:c r="D31" s="16" t="str">
        <x:v>aktualno</x:v>
      </x:c>
      <x:c r="E31" s="16" t="str">
        <x:v>A</x:v>
      </x:c>
      <x:c r="F31" s="16" t="str">
        <x:v>EU makro</x:v>
      </x:c>
      <x:c r="G31" s="58" t="str">
        <x:v>https://ec.europa.eu/eurostat/statistics-explained/index.php?title=Structural_business_statistics_overview</x:v>
      </x:c>
    </x:row>
    <x:row r="32" ht="32" customHeight="1">
      <x:c r="A32" s="17" t="str">
        <x:v>S28</x:v>
      </x:c>
      <x:c r="B32" s="17" t="str">
        <x:v>GZS</x:v>
      </x:c>
      <x:c r="C32" s="17" t="str">
        <x:v>Povzetek e-račun zakona</x:v>
      </x:c>
      <x:c r="D32" s="17" t="str">
        <x:v>2025</x:v>
      </x:c>
      <x:c r="E32" s="17" t="str">
        <x:v>A/B</x:v>
      </x:c>
      <x:c r="F32" s="17" t="str">
        <x:v>e-račun</x:v>
      </x:c>
      <x:c r="G32" s="59" t="str">
        <x:v>https://www.gzs.si/Default.aspx?ArticleId=90592</x:v>
      </x:c>
    </x:row>
    <x:row r="33" ht="32" customHeight="1">
      <x:c r="A33" s="16" t="str">
        <x:v>S29</x:v>
      </x:c>
      <x:c r="B33" s="16" t="str">
        <x:v>Datalab</x:v>
      </x:c>
      <x:c r="C33" s="16" t="str">
        <x:v>Primerjava funkcionalnosti</x:v>
      </x:c>
      <x:c r="D33" s="16" t="str">
        <x:v>2026 pregled</x:v>
      </x:c>
      <x:c r="E33" s="16" t="str">
        <x:v>A</x:v>
      </x:c>
      <x:c r="F33" s="16" t="str">
        <x:v>produkt</x:v>
      </x:c>
      <x:c r="G33" s="58" t="str">
        <x:v>https://www.datalab.si/primerjava-funkcionalnosti/</x:v>
      </x:c>
    </x:row>
    <x:row r="34" ht="32" customHeight="1">
      <x:c r="A34" s="17" t="str">
        <x:v>S30</x:v>
      </x:c>
      <x:c r="B34" s="17" t="str">
        <x:v>Datalab</x:v>
      </x:c>
      <x:c r="C34" s="17" t="str">
        <x:v>Javni cenik/izdaje</x:v>
      </x:c>
      <x:c r="D34" s="17" t="str">
        <x:v>2026-08-07</x:v>
      </x:c>
      <x:c r="E34" s="17" t="str">
        <x:v>A/C</x:v>
      </x:c>
      <x:c r="F34" s="17" t="str">
        <x:v>cena</x:v>
      </x:c>
      <x:c r="G34" s="59" t="str">
        <x:v>https://www.datalab.si/?amp%3Bp=1927&amp;post_type=pantheon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0" hidden="0" customWidth="1"/>
    <x:col min="3" max="3" width="14" hidden="0" customWidth="1"/>
    <x:col min="4" max="4" width="20" hidden="0" customWidth="1"/>
    <x:col min="5" max="5" width="28" hidden="0" customWidth="1"/>
    <x:col min="6" max="6" width="26" hidden="0" customWidth="1"/>
    <x:col min="7" max="7" width="14" hidden="0" customWidth="1"/>
    <x:col min="8" max="8" width="14" hidden="0" customWidth="1"/>
  </x:cols>
  <x:sheetData>
    <x:row r="1" ht="30" customHeight="1">
      <x:c r="A1" s="3" t="str">
        <x:v>Register raziskovalnih vrzeli</x:v>
      </x:c>
    </x:row>
    <x:row r="2" ht="34" customHeight="1">
      <x:c r="A2" s="7" t="str">
        <x:v>Naslednja faza naj gradi lastniške benchmarke Datalaba.</x:v>
      </x:c>
    </x:row>
    <x:row r="4" ht="28" customHeight="1">
      <x:c r="A4" s="12" t="str">
        <x:v>ID</x:v>
      </x:c>
      <x:c r="B4" s="12" t="str">
        <x:v>Vrzeli</x:v>
      </x:c>
      <x:c r="C4" s="12" t="str">
        <x:v>Prioriteta</x:v>
      </x:c>
      <x:c r="D4" s="12" t="str">
        <x:v>Lastnik</x:v>
      </x:c>
      <x:c r="E4" s="12" t="str">
        <x:v>Metoda</x:v>
      </x:c>
      <x:c r="F4" s="12" t="str">
        <x:v>Dokazni prag</x:v>
      </x:c>
      <x:c r="G4" s="12" t="str">
        <x:v>Rok</x:v>
      </x:c>
      <x:c r="H4" s="12" t="str">
        <x:v>Status</x:v>
      </x:c>
    </x:row>
    <x:row r="5">
      <x:c r="A5" s="16" t="str">
        <x:v>G01</x:v>
      </x:c>
      <x:c r="B5" s="16" t="str">
        <x:v>Porazdelitev servisov po FTE/strankah</x:v>
      </x:c>
      <x:c r="C5" s="16" t="str">
        <x:v>visoka</x:v>
      </x:c>
      <x:c r="D5" s="16" t="str">
        <x:v>Market intel</x:v>
      </x:c>
      <x:c r="E5" s="16" t="str">
        <x:v>AJPES + anketa</x:v>
      </x:c>
      <x:c r="F5" s="16" t="str">
        <x:v>n&gt;=150, stratificirano</x:v>
      </x:c>
      <x:c r="G5" s="16" t="str">
        <x:v>Q4 2026</x:v>
      </x:c>
      <x:c r="H5" s="16" t="str">
        <x:v>odprto</x:v>
      </x:c>
    </x:row>
    <x:row r="6">
      <x:c r="A6" s="17" t="str">
        <x:v>G02</x:v>
      </x:c>
      <x:c r="B6" s="17" t="str">
        <x:v>Dokumenti na stranko po segmentu</x:v>
      </x:c>
      <x:c r="C6" s="17" t="str">
        <x:v>visoka</x:v>
      </x:c>
      <x:c r="D6" s="17" t="str">
        <x:v>Product analytics</x:v>
      </x:c>
      <x:c r="E6" s="17" t="str">
        <x:v>telemetrija + intervju</x:v>
      </x:c>
      <x:c r="F6" s="17" t="str">
        <x:v>30 servisov/3 mesece</x:v>
      </x:c>
      <x:c r="G6" s="17" t="str">
        <x:v>Q4 2026</x:v>
      </x:c>
      <x:c r="H6" s="17" t="str">
        <x:v>odprto</x:v>
      </x:c>
    </x:row>
    <x:row r="7">
      <x:c r="A7" s="16" t="str">
        <x:v>G03</x:v>
      </x:c>
      <x:c r="B7" s="16" t="str">
        <x:v>Čas na dokument pred/po</x:v>
      </x:c>
      <x:c r="C7" s="16" t="str">
        <x:v>kritična</x:v>
      </x:c>
      <x:c r="D7" s="16" t="str">
        <x:v>Value engineering</x:v>
      </x:c>
      <x:c r="E7" s="16" t="str">
        <x:v>time study</x:v>
      </x:c>
      <x:c r="F7" s="16" t="str">
        <x:v>200-500 docs/pilot</x:v>
      </x:c>
      <x:c r="G7" s="16" t="str">
        <x:v>90 dni</x:v>
      </x:c>
      <x:c r="H7" s="16" t="str">
        <x:v>odprto</x:v>
      </x:c>
    </x:row>
    <x:row r="8">
      <x:c r="A8" s="17" t="str">
        <x:v>G04</x:v>
      </x:c>
      <x:c r="B8" s="17" t="str">
        <x:v>Natančnost OCR po poljih</x:v>
      </x:c>
      <x:c r="C8" s="17" t="str">
        <x:v>kritična</x:v>
      </x:c>
      <x:c r="D8" s="17" t="str">
        <x:v>Product</x:v>
      </x:c>
      <x:c r="E8" s="17" t="str">
        <x:v>označen testni korpus</x:v>
      </x:c>
      <x:c r="F8" s="17" t="str">
        <x:v>&gt;=2.000 docs</x:v>
      </x:c>
      <x:c r="G8" s="17" t="str">
        <x:v>Q4 2026</x:v>
      </x:c>
      <x:c r="H8" s="17" t="str">
        <x:v>odprto</x:v>
      </x:c>
    </x:row>
    <x:row r="9">
      <x:c r="A9" s="16" t="str">
        <x:v>G05</x:v>
      </x:c>
      <x:c r="B9" s="16" t="str">
        <x:v>TCO po arhetipu</x:v>
      </x:c>
      <x:c r="C9" s="16" t="str">
        <x:v>kritična</x:v>
      </x:c>
      <x:c r="D9" s="16" t="str">
        <x:v>Sales ops</x:v>
      </x:c>
      <x:c r="E9" s="16" t="str">
        <x:v>dejanske ponudbe/projekti</x:v>
      </x:c>
      <x:c r="F9" s="16" t="str">
        <x:v>20 uvedb</x:v>
      </x:c>
      <x:c r="G9" s="16" t="str">
        <x:v>Q4 2026</x:v>
      </x:c>
      <x:c r="H9" s="16" t="str">
        <x:v>odprto</x:v>
      </x:c>
    </x:row>
    <x:row r="10">
      <x:c r="A10" s="17" t="str">
        <x:v>G06</x:v>
      </x:c>
      <x:c r="B10" s="17" t="str">
        <x:v>Sprejetje portala pri strankah</x:v>
      </x:c>
      <x:c r="C10" s="17" t="str">
        <x:v>visoka</x:v>
      </x:c>
      <x:c r="D10" s="17" t="str">
        <x:v>CS</x:v>
      </x:c>
      <x:c r="E10" s="17" t="str">
        <x:v>kohortna analiza</x:v>
      </x:c>
      <x:c r="F10" s="17" t="str">
        <x:v>3 valovi</x:v>
      </x:c>
      <x:c r="G10" s="17" t="str">
        <x:v>120 dni</x:v>
      </x:c>
      <x:c r="H10" s="17" t="str">
        <x:v>odprto</x:v>
      </x:c>
    </x:row>
    <x:row r="11">
      <x:c r="A11" s="16" t="str">
        <x:v>G07</x:v>
      </x:c>
      <x:c r="B11" s="16" t="str">
        <x:v>Razlogi izgub proti konkurentom</x:v>
      </x:c>
      <x:c r="C11" s="16" t="str">
        <x:v>visoka</x:v>
      </x:c>
      <x:c r="D11" s="16" t="str">
        <x:v>Sales ops</x:v>
      </x:c>
      <x:c r="E11" s="16" t="str">
        <x:v>win/loss intervju</x:v>
      </x:c>
      <x:c r="F11" s="16" t="str">
        <x:v>20 poslov</x:v>
      </x:c>
      <x:c r="G11" s="16" t="str">
        <x:v>Q1 2027</x:v>
      </x:c>
      <x:c r="H11" s="16" t="str">
        <x:v>odprto</x:v>
      </x:c>
    </x:row>
    <x:row r="12">
      <x:c r="A12" s="17" t="str">
        <x:v>G08</x:v>
      </x:c>
      <x:c r="B12" s="17" t="str">
        <x:v>Stopnja uporabe funkcij</x:v>
      </x:c>
      <x:c r="C12" s="17" t="str">
        <x:v>visoka</x:v>
      </x:c>
      <x:c r="D12" s="17" t="str">
        <x:v>Product analytics</x:v>
      </x:c>
      <x:c r="E12" s="17" t="str">
        <x:v>telemetrija</x:v>
      </x:c>
      <x:c r="F12" s="17" t="str">
        <x:v>anonimizirano po segmentu</x:v>
      </x:c>
      <x:c r="G12" s="17" t="str">
        <x:v>Q4 2026</x:v>
      </x:c>
      <x:c r="H12" s="17" t="str">
        <x:v>odprto</x:v>
      </x:c>
    </x:row>
    <x:row r="13">
      <x:c r="A13" s="16" t="str">
        <x:v>G09</x:v>
      </x:c>
      <x:c r="B13" s="16" t="str">
        <x:v>Profitabilnost strank</x:v>
      </x:c>
      <x:c r="C13" s="16" t="str">
        <x:v>srednja</x:v>
      </x:c>
      <x:c r="D13" s="16" t="str">
        <x:v>Customer research</x:v>
      </x:c>
      <x:c r="E13" s="16" t="str">
        <x:v>zaupna analiza</x:v>
      </x:c>
      <x:c r="F13" s="16" t="str">
        <x:v>10 servisov</x:v>
      </x:c>
      <x:c r="G13" s="16" t="str">
        <x:v>Q1 2027</x:v>
      </x:c>
      <x:c r="H13" s="16" t="str">
        <x:v>odprto</x:v>
      </x:c>
    </x:row>
    <x:row r="14">
      <x:c r="A14" s="17" t="str">
        <x:v>G10</x:v>
      </x:c>
      <x:c r="B14" s="17" t="str">
        <x:v>Varnostni/RPO-RTO dokazni paket</x:v>
      </x:c>
      <x:c r="C14" s="17" t="str">
        <x:v>visoka</x:v>
      </x:c>
      <x:c r="D14" s="17" t="str">
        <x:v>Security/Cloud</x:v>
      </x:c>
      <x:c r="E14" s="17" t="str">
        <x:v>dokumentacija + test</x:v>
      </x:c>
      <x:c r="F14" s="17" t="str">
        <x:v>letni test</x:v>
      </x:c>
      <x:c r="G14" s="17" t="str">
        <x:v>Q4 2026</x:v>
      </x:c>
      <x:c r="H14" s="17" t="str">
        <x:v>odprto</x:v>
      </x:c>
    </x:row>
    <x:row r="15">
      <x:c r="A15" s="16" t="str">
        <x:v>G11</x:v>
      </x:c>
      <x:c r="B15" s="16" t="str">
        <x:v>Plan e-račun 2028 po funkcijah</x:v>
      </x:c>
      <x:c r="C15" s="16" t="str">
        <x:v>kritična</x:v>
      </x:c>
      <x:c r="D15" s="16" t="str">
        <x:v>Product/Legal</x:v>
      </x:c>
      <x:c r="E15" s="16" t="str">
        <x:v>roadmap</x:v>
      </x:c>
      <x:c r="F15" s="16" t="str">
        <x:v>milestone + owner</x:v>
      </x:c>
      <x:c r="G15" s="16" t="str">
        <x:v>Q3 2026</x:v>
      </x:c>
      <x:c r="H15" s="16" t="str">
        <x:v>odprto</x:v>
      </x:c>
    </x:row>
    <x:row r="16">
      <x:c r="A16" s="17" t="str">
        <x:v>G12</x:v>
      </x:c>
      <x:c r="B16" s="17" t="str">
        <x:v>Migracijski čas po sistemu izvora</x:v>
      </x:c>
      <x:c r="C16" s="17" t="str">
        <x:v>visoka</x:v>
      </x:c>
      <x:c r="D16" s="17" t="str">
        <x:v>Partners</x:v>
      </x:c>
      <x:c r="E16" s="17" t="str">
        <x:v>projektna evidenca</x:v>
      </x:c>
      <x:c r="F16" s="17" t="str">
        <x:v>30 migracij</x:v>
      </x:c>
      <x:c r="G16" s="17" t="str">
        <x:v>Q1 2027</x:v>
      </x:c>
      <x:c r="H16" s="17" t="str">
        <x:v>odprto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52" hidden="0" customWidth="1"/>
    <x:col min="3" max="3" width="18" hidden="0" customWidth="1"/>
    <x:col min="4" max="4" width="14" hidden="0" customWidth="1"/>
    <x:col min="5" max="5" width="28" hidden="0" customWidth="1"/>
    <x:col min="6" max="6" width="24" hidden="0" customWidth="1"/>
    <x:col min="7" max="7" width="16" hidden="0" customWidth="1"/>
  </x:cols>
  <x:sheetData>
    <x:row r="1" ht="30" customHeight="1">
      <x:c r="A1" s="3" t="str">
        <x:v>Hipoteze za validacijo</x:v>
      </x:c>
    </x:row>
    <x:row r="2" ht="34" customHeight="1">
      <x:c r="A2" s="7" t="str">
        <x:v>Ne objavljajte kot dejstva pred izvedbo testa.</x:v>
      </x:c>
    </x:row>
    <x:row r="4" ht="28" customHeight="1">
      <x:c r="A4" s="12" t="str">
        <x:v>ID</x:v>
      </x:c>
      <x:c r="B4" s="12" t="str">
        <x:v>Hipoteza</x:v>
      </x:c>
      <x:c r="C4" s="12" t="str">
        <x:v>Domena</x:v>
      </x:c>
      <x:c r="D4" s="12" t="str">
        <x:v>Prioriteta</x:v>
      </x:c>
      <x:c r="E4" s="12" t="str">
        <x:v>Test</x:v>
      </x:c>
      <x:c r="F4" s="12" t="str">
        <x:v>Metrika</x:v>
      </x:c>
      <x:c r="G4" s="12" t="str">
        <x:v>Status</x:v>
      </x:c>
    </x:row>
    <x:row r="5">
      <x:c r="A5" s="16" t="str">
        <x:v>H01</x:v>
      </x:c>
      <x:c r="B5" s="16" t="str">
        <x:v>Rastoči servisi 5-25 FTE imajo najvišji kratek ROI</x:v>
      </x:c>
      <x:c r="C5" s="16" t="str">
        <x:v>ICP</x:v>
      </x:c>
      <x:c r="D5" s="16" t="str">
        <x:v>visoka</x:v>
      </x:c>
      <x:c r="E5" s="16" t="str">
        <x:v>pilot kohorte</x:v>
      </x:c>
      <x:c r="F5" s="16" t="str">
        <x:v>ROI in payback</x:v>
      </x:c>
      <x:c r="G5" s="16" t="str">
        <x:v>nevalidirano</x:v>
      </x:c>
    </x:row>
    <x:row r="6">
      <x:c r="A6" s="17" t="str">
        <x:v>H02</x:v>
      </x:c>
      <x:c r="B6" s="17" t="str">
        <x:v>Sprejetje strank pojasni več variance kot OCR natančnost</x:v>
      </x:c>
      <x:c r="C6" s="17" t="str">
        <x:v>Produkt</x:v>
      </x:c>
      <x:c r="D6" s="17" t="str">
        <x:v>visoka</x:v>
      </x:c>
      <x:c r="E6" s="17" t="str">
        <x:v>regresija pilotov</x:v>
      </x:c>
      <x:c r="F6" s="17" t="str">
        <x:v>K18 vs prihranek</x:v>
      </x:c>
      <x:c r="G6" s="17" t="str">
        <x:v>nevalidirano</x:v>
      </x:c>
    </x:row>
    <x:row r="7">
      <x:c r="A7" s="16" t="str">
        <x:v>H03</x:v>
      </x:c>
      <x:c r="B7" s="16" t="str">
        <x:v>Enoten vhod zmanjša opomnike &gt;=40%</x:v>
      </x:c>
      <x:c r="C7" s="16" t="str">
        <x:v>Workflow</x:v>
      </x:c>
      <x:c r="D7" s="16" t="str">
        <x:v>srednja</x:v>
      </x:c>
      <x:c r="E7" s="16" t="str">
        <x:v>A/B val</x:v>
      </x:c>
      <x:c r="F7" s="16" t="str">
        <x:v>ure opominjanja</x:v>
      </x:c>
      <x:c r="G7" s="16" t="str">
        <x:v>nevalidirano</x:v>
      </x:c>
    </x:row>
    <x:row r="8">
      <x:c r="A8" s="17" t="str">
        <x:v>H04</x:v>
      </x:c>
      <x:c r="B8" s="17" t="str">
        <x:v>Segmentiranje po procesni kompleksnosti napove TCO bolje kot FTE</x:v>
      </x:c>
      <x:c r="C8" s="17" t="str">
        <x:v>Prodaja</x:v>
      </x:c>
      <x:c r="D8" s="17" t="str">
        <x:v>visoka</x:v>
      </x:c>
      <x:c r="E8" s="17" t="str">
        <x:v>20 uvedb</x:v>
      </x:c>
      <x:c r="F8" s="17" t="str">
        <x:v>napaka TCO</x:v>
      </x:c>
      <x:c r="G8" s="17" t="str">
        <x:v>nevalidirano</x:v>
      </x:c>
    </x:row>
    <x:row r="9">
      <x:c r="A9" s="16" t="str">
        <x:v>H05</x:v>
      </x:c>
      <x:c r="B9" s="16" t="str">
        <x:v>Objavljen transparenten TCO poveča kvalificirane priložnosti</x:v>
      </x:c>
      <x:c r="C9" s="16" t="str">
        <x:v>Marketing</x:v>
      </x:c>
      <x:c r="D9" s="16" t="str">
        <x:v>srednja</x:v>
      </x:c>
      <x:c r="E9" s="16" t="str">
        <x:v>pred/po test</x:v>
      </x:c>
      <x:c r="F9" s="16" t="str">
        <x:v>MQL-&gt;SQL</x:v>
      </x:c>
      <x:c r="G9" s="16" t="str">
        <x:v>nevalidirano</x:v>
      </x:c>
    </x:row>
    <x:row r="10">
      <x:c r="A10" s="17" t="str">
        <x:v>H06</x:v>
      </x:c>
      <x:c r="B10" s="17" t="str">
        <x:v>Pilot 10-30 strank je optimalen za dokaz brez prevelikega tveganja</x:v>
      </x:c>
      <x:c r="C10" s="17" t="str">
        <x:v>Uvedba</x:v>
      </x:c>
      <x:c r="D10" s="17" t="str">
        <x:v>srednja</x:v>
      </x:c>
      <x:c r="E10" s="17" t="str">
        <x:v>primerjava pilotov</x:v>
      </x:c>
      <x:c r="F10" s="17" t="str">
        <x:v>čas, kakovost</x:v>
      </x:c>
      <x:c r="G10" s="17" t="str">
        <x:v>nevalidirano</x:v>
      </x:c>
    </x:row>
    <x:row r="11">
      <x:c r="A11" s="16" t="str">
        <x:v>H07</x:v>
      </x:c>
      <x:c r="B11" s="16" t="str">
        <x:v>Dnevi do zaključka so močnejši prodajni dokaz kot ure knjiženja</x:v>
      </x:c>
      <x:c r="C11" s="16" t="str">
        <x:v>Value</x:v>
      </x:c>
      <x:c r="D11" s="16" t="str">
        <x:v>visoka</x:v>
      </x:c>
      <x:c r="E11" s="16" t="str">
        <x:v>intervju + conjoint</x:v>
      </x:c>
      <x:c r="F11" s="16" t="str">
        <x:v>nakupna namera</x:v>
      </x:c>
      <x:c r="G11" s="16" t="str">
        <x:v>nevalidirano</x:v>
      </x:c>
    </x:row>
    <x:row r="12">
      <x:c r="A12" s="17" t="str">
        <x:v>H08</x:v>
      </x:c>
      <x:c r="B12" s="17" t="str">
        <x:v>Servisi z dokumentiranim SOP dosegajo hitrejšo avtomatizacijo</x:v>
      </x:c>
      <x:c r="C12" s="17" t="str">
        <x:v>Uvedba</x:v>
      </x:c>
      <x:c r="D12" s="17" t="str">
        <x:v>visoka</x:v>
      </x:c>
      <x:c r="E12" s="17" t="str">
        <x:v>kohorte</x:v>
      </x:c>
      <x:c r="F12" s="17" t="str">
        <x:v>čas stabilizacije</x:v>
      </x:c>
      <x:c r="G12" s="17" t="str">
        <x:v>nevalidirano</x:v>
      </x:c>
    </x:row>
    <x:row r="13">
      <x:c r="A13" s="16" t="str">
        <x:v>H09</x:v>
      </x:c>
      <x:c r="B13" s="16" t="str">
        <x:v>E-račun 2028 bo glavni sprožilec 2027 pipeline-a</x:v>
      </x:c>
      <x:c r="C13" s="16" t="str">
        <x:v>Trg</x:v>
      </x:c>
      <x:c r="D13" s="16" t="str">
        <x:v>visoka</x:v>
      </x:c>
      <x:c r="E13" s="16" t="str">
        <x:v>CRM tagging</x:v>
      </x:c>
      <x:c r="F13" s="16" t="str">
        <x:v>pipeline po triggerju</x:v>
      </x:c>
      <x:c r="G13" s="16" t="str">
        <x:v>nevalidirano</x:v>
      </x:c>
    </x:row>
    <x:row r="14">
      <x:c r="A14" s="17" t="str">
        <x:v>H10</x:v>
      </x:c>
      <x:c r="B14" s="17" t="str">
        <x:v>Specializirani OCR partnerji povečajo win-rate pri heterogenih virih</x:v>
      </x:c>
      <x:c r="C14" s="17" t="str">
        <x:v>Partnerji</x:v>
      </x:c>
      <x:c r="D14" s="17" t="str">
        <x:v>srednja</x:v>
      </x:c>
      <x:c r="E14" s="17" t="str">
        <x:v>partner pilot</x:v>
      </x:c>
      <x:c r="F14" s="17" t="str">
        <x:v>win-rate/TCO</x:v>
      </x:c>
      <x:c r="G14" s="17" t="str">
        <x:v>nevalidirano</x:v>
      </x:c>
    </x:row>
    <x:row r="15">
      <x:c r="A15" s="16" t="str">
        <x:v>H11</x:v>
      </x:c>
      <x:c r="B15" s="16" t="str">
        <x:v>Profitabilnost po stranki sproži repricing v 6 mesecih</x:v>
      </x:c>
      <x:c r="C15" s="16" t="str">
        <x:v>Ekonomika</x:v>
      </x:c>
      <x:c r="D15" s="16" t="str">
        <x:v>srednja</x:v>
      </x:c>
      <x:c r="E15" s="16" t="str">
        <x:v>kohorta</x:v>
      </x:c>
      <x:c r="F15" s="16" t="str">
        <x:v>cene/marža</x:v>
      </x:c>
      <x:c r="G15" s="16" t="str">
        <x:v>nevalidirano</x:v>
      </x:c>
    </x:row>
    <x:row r="16">
      <x:c r="A16" s="17" t="str">
        <x:v>H12</x:v>
      </x:c>
      <x:c r="B16" s="17" t="str">
        <x:v>Sistematičen 30/60/90 pregled zmanjša neaktivacijo</x:v>
      </x:c>
      <x:c r="C16" s="17" t="str">
        <x:v>CS</x:v>
      </x:c>
      <x:c r="D16" s="17" t="str">
        <x:v>visoka</x:v>
      </x:c>
      <x:c r="E16" s="17" t="str">
        <x:v>kohortni test</x:v>
      </x:c>
      <x:c r="F16" s="17" t="str">
        <x:v>aktivne funkcije</x:v>
      </x:c>
      <x:c r="G16" s="17" t="str">
        <x:v>nevalidirano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24" hidden="0" customWidth="1"/>
    <x:col min="5" max="5" width="30" hidden="0" customWidth="1"/>
  </x:cols>
  <x:sheetData>
    <x:row r="1" ht="30" customHeight="1">
      <x:c r="A1" s="3" t="str">
        <x:v>Matrika segment → bolečina</x:v>
      </x:c>
    </x:row>
    <x:row r="2" ht="34" customHeight="1">
      <x:c r="A2" s="7" t="str">
        <x:v>Prednost je delovna ocena in se posodobi po intervjujih.</x:v>
      </x:c>
    </x:row>
    <x:row r="4" ht="28" customHeight="1">
      <x:c r="A4" s="12" t="str">
        <x:v>Segment</x:v>
      </x:c>
      <x:c r="B4" s="12" t="str">
        <x:v>Pain ID</x:v>
      </x:c>
      <x:c r="C4" s="12" t="str">
        <x:v>Prioriteta</x:v>
      </x:c>
      <x:c r="D4" s="12" t="str">
        <x:v>Podlaga</x:v>
      </x:c>
      <x:c r="E4" s="12" t="str">
        <x:v>Naslednji dokaz</x:v>
      </x:c>
    </x:row>
    <x:row r="5">
      <x:c r="A5" s="16" t="str">
        <x:v>S1</x:v>
      </x:c>
      <x:c r="B5" s="16" t="str">
        <x:v>B01</x:v>
      </x:c>
      <x:c r="C5" s="16" t="n">
        <x:v>12</x:v>
      </x:c>
      <x:c r="D5" s="16" t="str">
        <x:v>Delovna ocena</x:v>
      </x:c>
      <x:c r="E5" s="16" t="str">
        <x:v>validirati z intervjujem</x:v>
      </x:c>
    </x:row>
    <x:row r="6">
      <x:c r="A6" s="17" t="str">
        <x:v>S1</x:v>
      </x:c>
      <x:c r="B6" s="17" t="str">
        <x:v>B02</x:v>
      </x:c>
      <x:c r="C6" s="17" t="n">
        <x:v>12</x:v>
      </x:c>
      <x:c r="D6" s="17" t="str">
        <x:v>Delovna ocena</x:v>
      </x:c>
      <x:c r="E6" s="17" t="str">
        <x:v>validirati z intervjujem</x:v>
      </x:c>
    </x:row>
    <x:row r="7">
      <x:c r="A7" s="16" t="str">
        <x:v>S1</x:v>
      </x:c>
      <x:c r="B7" s="16" t="str">
        <x:v>B03</x:v>
      </x:c>
      <x:c r="C7" s="16" t="n">
        <x:v>12</x:v>
      </x:c>
      <x:c r="D7" s="16" t="str">
        <x:v>Delovna ocena</x:v>
      </x:c>
      <x:c r="E7" s="16" t="str">
        <x:v>validirati z intervjujem</x:v>
      </x:c>
    </x:row>
    <x:row r="8">
      <x:c r="A8" s="17" t="str">
        <x:v>S1</x:v>
      </x:c>
      <x:c r="B8" s="17" t="str">
        <x:v>B04</x:v>
      </x:c>
      <x:c r="C8" s="17" t="n">
        <x:v>11</x:v>
      </x:c>
      <x:c r="D8" s="17" t="str">
        <x:v>Delovna ocena</x:v>
      </x:c>
      <x:c r="E8" s="17" t="str">
        <x:v>validirati z intervjujem</x:v>
      </x:c>
    </x:row>
    <x:row r="9">
      <x:c r="A9" s="16" t="str">
        <x:v>S1</x:v>
      </x:c>
      <x:c r="B9" s="16" t="str">
        <x:v>B05</x:v>
      </x:c>
      <x:c r="C9" s="16" t="n">
        <x:v>11</x:v>
      </x:c>
      <x:c r="D9" s="16" t="str">
        <x:v>Delovna ocena</x:v>
      </x:c>
      <x:c r="E9" s="16" t="str">
        <x:v>validirati z intervjujem</x:v>
      </x:c>
    </x:row>
    <x:row r="10">
      <x:c r="A10" s="17" t="str">
        <x:v>S1</x:v>
      </x:c>
      <x:c r="B10" s="17" t="str">
        <x:v>B06</x:v>
      </x:c>
      <x:c r="C10" s="17" t="n">
        <x:v>11</x:v>
      </x:c>
      <x:c r="D10" s="17" t="str">
        <x:v>Delovna ocena</x:v>
      </x:c>
      <x:c r="E10" s="17" t="str">
        <x:v>validirati z intervjujem</x:v>
      </x:c>
    </x:row>
    <x:row r="11">
      <x:c r="A11" s="16" t="str">
        <x:v>S1</x:v>
      </x:c>
      <x:c r="B11" s="16" t="str">
        <x:v>B07</x:v>
      </x:c>
      <x:c r="C11" s="16" t="n">
        <x:v>11</x:v>
      </x:c>
      <x:c r="D11" s="16" t="str">
        <x:v>Delovna ocena</x:v>
      </x:c>
      <x:c r="E11" s="16" t="str">
        <x:v>validirati z intervjujem</x:v>
      </x:c>
    </x:row>
    <x:row r="12">
      <x:c r="A12" s="17" t="str">
        <x:v>S1</x:v>
      </x:c>
      <x:c r="B12" s="17" t="str">
        <x:v>B08</x:v>
      </x:c>
      <x:c r="C12" s="17" t="n">
        <x:v>10</x:v>
      </x:c>
      <x:c r="D12" s="17" t="str">
        <x:v>Delovna ocena</x:v>
      </x:c>
      <x:c r="E12" s="17" t="str">
        <x:v>validirati z intervjujem</x:v>
      </x:c>
    </x:row>
    <x:row r="13">
      <x:c r="A13" s="16" t="str">
        <x:v>S1</x:v>
      </x:c>
      <x:c r="B13" s="16" t="str">
        <x:v>B09</x:v>
      </x:c>
      <x:c r="C13" s="16" t="n">
        <x:v>10</x:v>
      </x:c>
      <x:c r="D13" s="16" t="str">
        <x:v>Delovna ocena</x:v>
      </x:c>
      <x:c r="E13" s="16" t="str">
        <x:v>validirati z intervjujem</x:v>
      </x:c>
    </x:row>
    <x:row r="14">
      <x:c r="A14" s="17" t="str">
        <x:v>S1</x:v>
      </x:c>
      <x:c r="B14" s="17" t="str">
        <x:v>B10</x:v>
      </x:c>
      <x:c r="C14" s="17" t="n">
        <x:v>10</x:v>
      </x:c>
      <x:c r="D14" s="17" t="str">
        <x:v>Delovna ocena</x:v>
      </x:c>
      <x:c r="E14" s="17" t="str">
        <x:v>validirati z intervjujem</x:v>
      </x:c>
    </x:row>
    <x:row r="15">
      <x:c r="A15" s="16" t="str">
        <x:v>S1</x:v>
      </x:c>
      <x:c r="B15" s="16" t="str">
        <x:v>B11</x:v>
      </x:c>
      <x:c r="C15" s="16" t="n">
        <x:v>10</x:v>
      </x:c>
      <x:c r="D15" s="16" t="str">
        <x:v>Delovna ocena</x:v>
      </x:c>
      <x:c r="E15" s="16" t="str">
        <x:v>validirati z intervjujem</x:v>
      </x:c>
    </x:row>
    <x:row r="16">
      <x:c r="A16" s="17" t="str">
        <x:v>S1</x:v>
      </x:c>
      <x:c r="B16" s="17" t="str">
        <x:v>B12</x:v>
      </x:c>
      <x:c r="C16" s="17" t="n">
        <x:v>9</x:v>
      </x:c>
      <x:c r="D16" s="17" t="str">
        <x:v>Delovna ocena</x:v>
      </x:c>
      <x:c r="E16" s="17" t="str">
        <x:v>validirati z intervjujem</x:v>
      </x:c>
    </x:row>
    <x:row r="17">
      <x:c r="A17" s="16" t="str">
        <x:v>S2</x:v>
      </x:c>
      <x:c r="B17" s="16" t="str">
        <x:v>B01</x:v>
      </x:c>
      <x:c r="C17" s="16" t="n">
        <x:v>12</x:v>
      </x:c>
      <x:c r="D17" s="16" t="str">
        <x:v>Delovna ocena</x:v>
      </x:c>
      <x:c r="E17" s="16" t="str">
        <x:v>validirati z intervjujem</x:v>
      </x:c>
    </x:row>
    <x:row r="18">
      <x:c r="A18" s="17" t="str">
        <x:v>S2</x:v>
      </x:c>
      <x:c r="B18" s="17" t="str">
        <x:v>B02</x:v>
      </x:c>
      <x:c r="C18" s="17" t="n">
        <x:v>12</x:v>
      </x:c>
      <x:c r="D18" s="17" t="str">
        <x:v>Delovna ocena</x:v>
      </x:c>
      <x:c r="E18" s="17" t="str">
        <x:v>validirati z intervjujem</x:v>
      </x:c>
    </x:row>
    <x:row r="19">
      <x:c r="A19" s="16" t="str">
        <x:v>S2</x:v>
      </x:c>
      <x:c r="B19" s="16" t="str">
        <x:v>B03</x:v>
      </x:c>
      <x:c r="C19" s="16" t="n">
        <x:v>12</x:v>
      </x:c>
      <x:c r="D19" s="16" t="str">
        <x:v>Delovna ocena</x:v>
      </x:c>
      <x:c r="E19" s="16" t="str">
        <x:v>validirati z intervjujem</x:v>
      </x:c>
    </x:row>
    <x:row r="20">
      <x:c r="A20" s="17" t="str">
        <x:v>S2</x:v>
      </x:c>
      <x:c r="B20" s="17" t="str">
        <x:v>B04</x:v>
      </x:c>
      <x:c r="C20" s="17" t="n">
        <x:v>11</x:v>
      </x:c>
      <x:c r="D20" s="17" t="str">
        <x:v>Delovna ocena</x:v>
      </x:c>
      <x:c r="E20" s="17" t="str">
        <x:v>validirati z intervjujem</x:v>
      </x:c>
    </x:row>
    <x:row r="21">
      <x:c r="A21" s="16" t="str">
        <x:v>S2</x:v>
      </x:c>
      <x:c r="B21" s="16" t="str">
        <x:v>B05</x:v>
      </x:c>
      <x:c r="C21" s="16" t="n">
        <x:v>11</x:v>
      </x:c>
      <x:c r="D21" s="16" t="str">
        <x:v>Delovna ocena</x:v>
      </x:c>
      <x:c r="E21" s="16" t="str">
        <x:v>validirati z intervjujem</x:v>
      </x:c>
    </x:row>
    <x:row r="22">
      <x:c r="A22" s="17" t="str">
        <x:v>S2</x:v>
      </x:c>
      <x:c r="B22" s="17" t="str">
        <x:v>B06</x:v>
      </x:c>
      <x:c r="C22" s="17" t="n">
        <x:v>11</x:v>
      </x:c>
      <x:c r="D22" s="17" t="str">
        <x:v>Delovna ocena</x:v>
      </x:c>
      <x:c r="E22" s="17" t="str">
        <x:v>validirati z intervjujem</x:v>
      </x:c>
    </x:row>
    <x:row r="23">
      <x:c r="A23" s="16" t="str">
        <x:v>S2</x:v>
      </x:c>
      <x:c r="B23" s="16" t="str">
        <x:v>B07</x:v>
      </x:c>
      <x:c r="C23" s="16" t="n">
        <x:v>11</x:v>
      </x:c>
      <x:c r="D23" s="16" t="str">
        <x:v>Delovna ocena</x:v>
      </x:c>
      <x:c r="E23" s="16" t="str">
        <x:v>validirati z intervjujem</x:v>
      </x:c>
    </x:row>
    <x:row r="24">
      <x:c r="A24" s="17" t="str">
        <x:v>S2</x:v>
      </x:c>
      <x:c r="B24" s="17" t="str">
        <x:v>B08</x:v>
      </x:c>
      <x:c r="C24" s="17" t="n">
        <x:v>10</x:v>
      </x:c>
      <x:c r="D24" s="17" t="str">
        <x:v>Delovna ocena</x:v>
      </x:c>
      <x:c r="E24" s="17" t="str">
        <x:v>validirati z intervjujem</x:v>
      </x:c>
    </x:row>
    <x:row r="25">
      <x:c r="A25" s="16" t="str">
        <x:v>S2</x:v>
      </x:c>
      <x:c r="B25" s="16" t="str">
        <x:v>B09</x:v>
      </x:c>
      <x:c r="C25" s="16" t="n">
        <x:v>10</x:v>
      </x:c>
      <x:c r="D25" s="16" t="str">
        <x:v>Delovna ocena</x:v>
      </x:c>
      <x:c r="E25" s="16" t="str">
        <x:v>validirati z intervjujem</x:v>
      </x:c>
    </x:row>
    <x:row r="26">
      <x:c r="A26" s="17" t="str">
        <x:v>S2</x:v>
      </x:c>
      <x:c r="B26" s="17" t="str">
        <x:v>B10</x:v>
      </x:c>
      <x:c r="C26" s="17" t="n">
        <x:v>10</x:v>
      </x:c>
      <x:c r="D26" s="17" t="str">
        <x:v>Delovna ocena</x:v>
      </x:c>
      <x:c r="E26" s="17" t="str">
        <x:v>validirati z intervjujem</x:v>
      </x:c>
    </x:row>
    <x:row r="27">
      <x:c r="A27" s="16" t="str">
        <x:v>S2</x:v>
      </x:c>
      <x:c r="B27" s="16" t="str">
        <x:v>B11</x:v>
      </x:c>
      <x:c r="C27" s="16" t="n">
        <x:v>10</x:v>
      </x:c>
      <x:c r="D27" s="16" t="str">
        <x:v>Delovna ocena</x:v>
      </x:c>
      <x:c r="E27" s="16" t="str">
        <x:v>validirati z intervjujem</x:v>
      </x:c>
    </x:row>
    <x:row r="28">
      <x:c r="A28" s="17" t="str">
        <x:v>S2</x:v>
      </x:c>
      <x:c r="B28" s="17" t="str">
        <x:v>B12</x:v>
      </x:c>
      <x:c r="C28" s="17" t="n">
        <x:v>9</x:v>
      </x:c>
      <x:c r="D28" s="17" t="str">
        <x:v>Delovna ocena</x:v>
      </x:c>
      <x:c r="E28" s="17" t="str">
        <x:v>validirati z intervjujem</x:v>
      </x:c>
    </x:row>
    <x:row r="29">
      <x:c r="A29" s="16" t="str">
        <x:v>S3</x:v>
      </x:c>
      <x:c r="B29" s="16" t="str">
        <x:v>B01</x:v>
      </x:c>
      <x:c r="C29" s="16" t="n">
        <x:v>14</x:v>
      </x:c>
      <x:c r="D29" s="16" t="str">
        <x:v>Delovna ocena</x:v>
      </x:c>
      <x:c r="E29" s="16" t="str">
        <x:v>validirati z intervjujem</x:v>
      </x:c>
    </x:row>
    <x:row r="30">
      <x:c r="A30" s="17" t="str">
        <x:v>S3</x:v>
      </x:c>
      <x:c r="B30" s="17" t="str">
        <x:v>B02</x:v>
      </x:c>
      <x:c r="C30" s="17" t="n">
        <x:v>14</x:v>
      </x:c>
      <x:c r="D30" s="17" t="str">
        <x:v>Delovna ocena</x:v>
      </x:c>
      <x:c r="E30" s="17" t="str">
        <x:v>validirati z intervjujem</x:v>
      </x:c>
    </x:row>
    <x:row r="31">
      <x:c r="A31" s="16" t="str">
        <x:v>S3</x:v>
      </x:c>
      <x:c r="B31" s="16" t="str">
        <x:v>B03</x:v>
      </x:c>
      <x:c r="C31" s="16" t="n">
        <x:v>14</x:v>
      </x:c>
      <x:c r="D31" s="16" t="str">
        <x:v>Delovna ocena</x:v>
      </x:c>
      <x:c r="E31" s="16" t="str">
        <x:v>validirati z intervjujem</x:v>
      </x:c>
    </x:row>
    <x:row r="32">
      <x:c r="A32" s="17" t="str">
        <x:v>S3</x:v>
      </x:c>
      <x:c r="B32" s="17" t="str">
        <x:v>B04</x:v>
      </x:c>
      <x:c r="C32" s="17" t="n">
        <x:v>13</x:v>
      </x:c>
      <x:c r="D32" s="17" t="str">
        <x:v>Delovna ocena</x:v>
      </x:c>
      <x:c r="E32" s="17" t="str">
        <x:v>validirati z intervjujem</x:v>
      </x:c>
    </x:row>
    <x:row r="33">
      <x:c r="A33" s="16" t="str">
        <x:v>S3</x:v>
      </x:c>
      <x:c r="B33" s="16" t="str">
        <x:v>B05</x:v>
      </x:c>
      <x:c r="C33" s="16" t="n">
        <x:v>13</x:v>
      </x:c>
      <x:c r="D33" s="16" t="str">
        <x:v>Delovna ocena</x:v>
      </x:c>
      <x:c r="E33" s="16" t="str">
        <x:v>validirati z intervjujem</x:v>
      </x:c>
    </x:row>
    <x:row r="34">
      <x:c r="A34" s="17" t="str">
        <x:v>S3</x:v>
      </x:c>
      <x:c r="B34" s="17" t="str">
        <x:v>B06</x:v>
      </x:c>
      <x:c r="C34" s="17" t="n">
        <x:v>13</x:v>
      </x:c>
      <x:c r="D34" s="17" t="str">
        <x:v>Delovna ocena</x:v>
      </x:c>
      <x:c r="E34" s="17" t="str">
        <x:v>validirati z intervjujem</x:v>
      </x:c>
    </x:row>
    <x:row r="35">
      <x:c r="A35" s="16" t="str">
        <x:v>S3</x:v>
      </x:c>
      <x:c r="B35" s="16" t="str">
        <x:v>B07</x:v>
      </x:c>
      <x:c r="C35" s="16" t="n">
        <x:v>13</x:v>
      </x:c>
      <x:c r="D35" s="16" t="str">
        <x:v>Delovna ocena</x:v>
      </x:c>
      <x:c r="E35" s="16" t="str">
        <x:v>validirati z intervjujem</x:v>
      </x:c>
    </x:row>
    <x:row r="36">
      <x:c r="A36" s="17" t="str">
        <x:v>S3</x:v>
      </x:c>
      <x:c r="B36" s="17" t="str">
        <x:v>B08</x:v>
      </x:c>
      <x:c r="C36" s="17" t="n">
        <x:v>12</x:v>
      </x:c>
      <x:c r="D36" s="17" t="str">
        <x:v>Delovna ocena</x:v>
      </x:c>
      <x:c r="E36" s="17" t="str">
        <x:v>validirati z intervjujem</x:v>
      </x:c>
    </x:row>
    <x:row r="37">
      <x:c r="A37" s="16" t="str">
        <x:v>S3</x:v>
      </x:c>
      <x:c r="B37" s="16" t="str">
        <x:v>B09</x:v>
      </x:c>
      <x:c r="C37" s="16" t="n">
        <x:v>12</x:v>
      </x:c>
      <x:c r="D37" s="16" t="str">
        <x:v>Delovna ocena</x:v>
      </x:c>
      <x:c r="E37" s="16" t="str">
        <x:v>validirati z intervjujem</x:v>
      </x:c>
    </x:row>
    <x:row r="38">
      <x:c r="A38" s="17" t="str">
        <x:v>S3</x:v>
      </x:c>
      <x:c r="B38" s="17" t="str">
        <x:v>B10</x:v>
      </x:c>
      <x:c r="C38" s="17" t="n">
        <x:v>12</x:v>
      </x:c>
      <x:c r="D38" s="17" t="str">
        <x:v>Delovna ocena</x:v>
      </x:c>
      <x:c r="E38" s="17" t="str">
        <x:v>validirati z intervjujem</x:v>
      </x:c>
    </x:row>
    <x:row r="39">
      <x:c r="A39" s="16" t="str">
        <x:v>S3</x:v>
      </x:c>
      <x:c r="B39" s="16" t="str">
        <x:v>B11</x:v>
      </x:c>
      <x:c r="C39" s="16" t="n">
        <x:v>12</x:v>
      </x:c>
      <x:c r="D39" s="16" t="str">
        <x:v>Delovna ocena</x:v>
      </x:c>
      <x:c r="E39" s="16" t="str">
        <x:v>validirati z intervjujem</x:v>
      </x:c>
    </x:row>
    <x:row r="40">
      <x:c r="A40" s="17" t="str">
        <x:v>S3</x:v>
      </x:c>
      <x:c r="B40" s="17" t="str">
        <x:v>B12</x:v>
      </x:c>
      <x:c r="C40" s="17" t="n">
        <x:v>11</x:v>
      </x:c>
      <x:c r="D40" s="17" t="str">
        <x:v>Delovna ocena</x:v>
      </x:c>
      <x:c r="E40" s="17" t="str">
        <x:v>validirati z intervjujem</x:v>
      </x:c>
    </x:row>
    <x:row r="41">
      <x:c r="A41" s="16" t="str">
        <x:v>S4</x:v>
      </x:c>
      <x:c r="B41" s="16" t="str">
        <x:v>B01</x:v>
      </x:c>
      <x:c r="C41" s="16" t="n">
        <x:v>14</x:v>
      </x:c>
      <x:c r="D41" s="16" t="str">
        <x:v>Delovna ocena</x:v>
      </x:c>
      <x:c r="E41" s="16" t="str">
        <x:v>validirati z intervjujem</x:v>
      </x:c>
    </x:row>
    <x:row r="42">
      <x:c r="A42" s="17" t="str">
        <x:v>S4</x:v>
      </x:c>
      <x:c r="B42" s="17" t="str">
        <x:v>B02</x:v>
      </x:c>
      <x:c r="C42" s="17" t="n">
        <x:v>14</x:v>
      </x:c>
      <x:c r="D42" s="17" t="str">
        <x:v>Delovna ocena</x:v>
      </x:c>
      <x:c r="E42" s="17" t="str">
        <x:v>validirati z intervjujem</x:v>
      </x:c>
    </x:row>
    <x:row r="43">
      <x:c r="A43" s="16" t="str">
        <x:v>S4</x:v>
      </x:c>
      <x:c r="B43" s="16" t="str">
        <x:v>B03</x:v>
      </x:c>
      <x:c r="C43" s="16" t="n">
        <x:v>14</x:v>
      </x:c>
      <x:c r="D43" s="16" t="str">
        <x:v>Delovna ocena</x:v>
      </x:c>
      <x:c r="E43" s="16" t="str">
        <x:v>validirati z intervjujem</x:v>
      </x:c>
    </x:row>
    <x:row r="44">
      <x:c r="A44" s="17" t="str">
        <x:v>S4</x:v>
      </x:c>
      <x:c r="B44" s="17" t="str">
        <x:v>B04</x:v>
      </x:c>
      <x:c r="C44" s="17" t="n">
        <x:v>13</x:v>
      </x:c>
      <x:c r="D44" s="17" t="str">
        <x:v>Delovna ocena</x:v>
      </x:c>
      <x:c r="E44" s="17" t="str">
        <x:v>validirati z intervjujem</x:v>
      </x:c>
    </x:row>
    <x:row r="45">
      <x:c r="A45" s="16" t="str">
        <x:v>S4</x:v>
      </x:c>
      <x:c r="B45" s="16" t="str">
        <x:v>B05</x:v>
      </x:c>
      <x:c r="C45" s="16" t="n">
        <x:v>13</x:v>
      </x:c>
      <x:c r="D45" s="16" t="str">
        <x:v>Delovna ocena</x:v>
      </x:c>
      <x:c r="E45" s="16" t="str">
        <x:v>validirati z intervjujem</x:v>
      </x:c>
    </x:row>
    <x:row r="46">
      <x:c r="A46" s="17" t="str">
        <x:v>S4</x:v>
      </x:c>
      <x:c r="B46" s="17" t="str">
        <x:v>B06</x:v>
      </x:c>
      <x:c r="C46" s="17" t="n">
        <x:v>13</x:v>
      </x:c>
      <x:c r="D46" s="17" t="str">
        <x:v>Delovna ocena</x:v>
      </x:c>
      <x:c r="E46" s="17" t="str">
        <x:v>validirati z intervjujem</x:v>
      </x:c>
    </x:row>
    <x:row r="47">
      <x:c r="A47" s="16" t="str">
        <x:v>S4</x:v>
      </x:c>
      <x:c r="B47" s="16" t="str">
        <x:v>B07</x:v>
      </x:c>
      <x:c r="C47" s="16" t="n">
        <x:v>13</x:v>
      </x:c>
      <x:c r="D47" s="16" t="str">
        <x:v>Delovna ocena</x:v>
      </x:c>
      <x:c r="E47" s="16" t="str">
        <x:v>validirati z intervjujem</x:v>
      </x:c>
    </x:row>
    <x:row r="48">
      <x:c r="A48" s="17" t="str">
        <x:v>S4</x:v>
      </x:c>
      <x:c r="B48" s="17" t="str">
        <x:v>B08</x:v>
      </x:c>
      <x:c r="C48" s="17" t="n">
        <x:v>12</x:v>
      </x:c>
      <x:c r="D48" s="17" t="str">
        <x:v>Delovna ocena</x:v>
      </x:c>
      <x:c r="E48" s="17" t="str">
        <x:v>validirati z intervjujem</x:v>
      </x:c>
    </x:row>
    <x:row r="49">
      <x:c r="A49" s="16" t="str">
        <x:v>S4</x:v>
      </x:c>
      <x:c r="B49" s="16" t="str">
        <x:v>B09</x:v>
      </x:c>
      <x:c r="C49" s="16" t="n">
        <x:v>12</x:v>
      </x:c>
      <x:c r="D49" s="16" t="str">
        <x:v>Delovna ocena</x:v>
      </x:c>
      <x:c r="E49" s="16" t="str">
        <x:v>validirati z intervjujem</x:v>
      </x:c>
    </x:row>
    <x:row r="50">
      <x:c r="A50" s="17" t="str">
        <x:v>S4</x:v>
      </x:c>
      <x:c r="B50" s="17" t="str">
        <x:v>B10</x:v>
      </x:c>
      <x:c r="C50" s="17" t="n">
        <x:v>12</x:v>
      </x:c>
      <x:c r="D50" s="17" t="str">
        <x:v>Delovna ocena</x:v>
      </x:c>
      <x:c r="E50" s="17" t="str">
        <x:v>validirati z intervjujem</x:v>
      </x:c>
    </x:row>
    <x:row r="51">
      <x:c r="A51" s="16" t="str">
        <x:v>S4</x:v>
      </x:c>
      <x:c r="B51" s="16" t="str">
        <x:v>B11</x:v>
      </x:c>
      <x:c r="C51" s="16" t="n">
        <x:v>12</x:v>
      </x:c>
      <x:c r="D51" s="16" t="str">
        <x:v>Delovna ocena</x:v>
      </x:c>
      <x:c r="E51" s="16" t="str">
        <x:v>validirati z intervjujem</x:v>
      </x:c>
    </x:row>
    <x:row r="52">
      <x:c r="A52" s="17" t="str">
        <x:v>S4</x:v>
      </x:c>
      <x:c r="B52" s="17" t="str">
        <x:v>B12</x:v>
      </x:c>
      <x:c r="C52" s="17" t="n">
        <x:v>11</x:v>
      </x:c>
      <x:c r="D52" s="17" t="str">
        <x:v>Delovna ocena</x:v>
      </x:c>
      <x:c r="E52" s="17" t="str">
        <x:v>validirati z intervjujem</x:v>
      </x:c>
    </x:row>
    <x:row r="53">
      <x:c r="A53" s="16" t="str">
        <x:v>S5</x:v>
      </x:c>
      <x:c r="B53" s="16" t="str">
        <x:v>B01</x:v>
      </x:c>
      <x:c r="C53" s="16" t="n">
        <x:v>12</x:v>
      </x:c>
      <x:c r="D53" s="16" t="str">
        <x:v>Delovna ocena</x:v>
      </x:c>
      <x:c r="E53" s="16" t="str">
        <x:v>validirati z intervjujem</x:v>
      </x:c>
    </x:row>
    <x:row r="54">
      <x:c r="A54" s="17" t="str">
        <x:v>S5</x:v>
      </x:c>
      <x:c r="B54" s="17" t="str">
        <x:v>B02</x:v>
      </x:c>
      <x:c r="C54" s="17" t="n">
        <x:v>12</x:v>
      </x:c>
      <x:c r="D54" s="17" t="str">
        <x:v>Delovna ocena</x:v>
      </x:c>
      <x:c r="E54" s="17" t="str">
        <x:v>validirati z intervjujem</x:v>
      </x:c>
    </x:row>
    <x:row r="55">
      <x:c r="A55" s="16" t="str">
        <x:v>S5</x:v>
      </x:c>
      <x:c r="B55" s="16" t="str">
        <x:v>B03</x:v>
      </x:c>
      <x:c r="C55" s="16" t="n">
        <x:v>12</x:v>
      </x:c>
      <x:c r="D55" s="16" t="str">
        <x:v>Delovna ocena</x:v>
      </x:c>
      <x:c r="E55" s="16" t="str">
        <x:v>validirati z intervjujem</x:v>
      </x:c>
    </x:row>
    <x:row r="56">
      <x:c r="A56" s="17" t="str">
        <x:v>S5</x:v>
      </x:c>
      <x:c r="B56" s="17" t="str">
        <x:v>B04</x:v>
      </x:c>
      <x:c r="C56" s="17" t="n">
        <x:v>11</x:v>
      </x:c>
      <x:c r="D56" s="17" t="str">
        <x:v>Delovna ocena</x:v>
      </x:c>
      <x:c r="E56" s="17" t="str">
        <x:v>validirati z intervjujem</x:v>
      </x:c>
    </x:row>
    <x:row r="57">
      <x:c r="A57" s="16" t="str">
        <x:v>S5</x:v>
      </x:c>
      <x:c r="B57" s="16" t="str">
        <x:v>B05</x:v>
      </x:c>
      <x:c r="C57" s="16" t="n">
        <x:v>11</x:v>
      </x:c>
      <x:c r="D57" s="16" t="str">
        <x:v>Delovna ocena</x:v>
      </x:c>
      <x:c r="E57" s="16" t="str">
        <x:v>validirati z intervjujem</x:v>
      </x:c>
    </x:row>
    <x:row r="58">
      <x:c r="A58" s="17" t="str">
        <x:v>S5</x:v>
      </x:c>
      <x:c r="B58" s="17" t="str">
        <x:v>B06</x:v>
      </x:c>
      <x:c r="C58" s="17" t="n">
        <x:v>11</x:v>
      </x:c>
      <x:c r="D58" s="17" t="str">
        <x:v>Delovna ocena</x:v>
      </x:c>
      <x:c r="E58" s="17" t="str">
        <x:v>validirati z intervjujem</x:v>
      </x:c>
    </x:row>
    <x:row r="59">
      <x:c r="A59" s="16" t="str">
        <x:v>S5</x:v>
      </x:c>
      <x:c r="B59" s="16" t="str">
        <x:v>B07</x:v>
      </x:c>
      <x:c r="C59" s="16" t="n">
        <x:v>11</x:v>
      </x:c>
      <x:c r="D59" s="16" t="str">
        <x:v>Delovna ocena</x:v>
      </x:c>
      <x:c r="E59" s="16" t="str">
        <x:v>validirati z intervjujem</x:v>
      </x:c>
    </x:row>
    <x:row r="60">
      <x:c r="A60" s="17" t="str">
        <x:v>S5</x:v>
      </x:c>
      <x:c r="B60" s="17" t="str">
        <x:v>B08</x:v>
      </x:c>
      <x:c r="C60" s="17" t="n">
        <x:v>10</x:v>
      </x:c>
      <x:c r="D60" s="17" t="str">
        <x:v>Delovna ocena</x:v>
      </x:c>
      <x:c r="E60" s="17" t="str">
        <x:v>validirati z intervjujem</x:v>
      </x:c>
    </x:row>
    <x:row r="61">
      <x:c r="A61" s="16" t="str">
        <x:v>S5</x:v>
      </x:c>
      <x:c r="B61" s="16" t="str">
        <x:v>B09</x:v>
      </x:c>
      <x:c r="C61" s="16" t="n">
        <x:v>10</x:v>
      </x:c>
      <x:c r="D61" s="16" t="str">
        <x:v>Delovna ocena</x:v>
      </x:c>
      <x:c r="E61" s="16" t="str">
        <x:v>validirati z intervjujem</x:v>
      </x:c>
    </x:row>
    <x:row r="62">
      <x:c r="A62" s="17" t="str">
        <x:v>S5</x:v>
      </x:c>
      <x:c r="B62" s="17" t="str">
        <x:v>B10</x:v>
      </x:c>
      <x:c r="C62" s="17" t="n">
        <x:v>10</x:v>
      </x:c>
      <x:c r="D62" s="17" t="str">
        <x:v>Delovna ocena</x:v>
      </x:c>
      <x:c r="E62" s="17" t="str">
        <x:v>validirati z intervjujem</x:v>
      </x:c>
    </x:row>
    <x:row r="63">
      <x:c r="A63" s="16" t="str">
        <x:v>S5</x:v>
      </x:c>
      <x:c r="B63" s="16" t="str">
        <x:v>B11</x:v>
      </x:c>
      <x:c r="C63" s="16" t="n">
        <x:v>10</x:v>
      </x:c>
      <x:c r="D63" s="16" t="str">
        <x:v>Delovna ocena</x:v>
      </x:c>
      <x:c r="E63" s="16" t="str">
        <x:v>validirati z intervjujem</x:v>
      </x:c>
    </x:row>
    <x:row r="64">
      <x:c r="A64" s="17" t="str">
        <x:v>S5</x:v>
      </x:c>
      <x:c r="B64" s="17" t="str">
        <x:v>B12</x:v>
      </x:c>
      <x:c r="C64" s="17" t="n">
        <x:v>9</x:v>
      </x:c>
      <x:c r="D64" s="17" t="str">
        <x:v>Delovna ocena</x:v>
      </x:c>
      <x:c r="E64" s="17" t="str">
        <x:v>validirati z intervjujem</x:v>
      </x:c>
    </x:row>
    <x:row r="65">
      <x:c r="A65" s="16" t="str">
        <x:v>S6</x:v>
      </x:c>
      <x:c r="B65" s="16" t="str">
        <x:v>B01</x:v>
      </x:c>
      <x:c r="C65" s="16" t="n">
        <x:v>12</x:v>
      </x:c>
      <x:c r="D65" s="16" t="str">
        <x:v>Delovna ocena</x:v>
      </x:c>
      <x:c r="E65" s="16" t="str">
        <x:v>validirati z intervjujem</x:v>
      </x:c>
    </x:row>
    <x:row r="66">
      <x:c r="A66" s="17" t="str">
        <x:v>S6</x:v>
      </x:c>
      <x:c r="B66" s="17" t="str">
        <x:v>B02</x:v>
      </x:c>
      <x:c r="C66" s="17" t="n">
        <x:v>12</x:v>
      </x:c>
      <x:c r="D66" s="17" t="str">
        <x:v>Delovna ocena</x:v>
      </x:c>
      <x:c r="E66" s="17" t="str">
        <x:v>validirati z intervjujem</x:v>
      </x:c>
    </x:row>
    <x:row r="67">
      <x:c r="A67" s="16" t="str">
        <x:v>S6</x:v>
      </x:c>
      <x:c r="B67" s="16" t="str">
        <x:v>B03</x:v>
      </x:c>
      <x:c r="C67" s="16" t="n">
        <x:v>12</x:v>
      </x:c>
      <x:c r="D67" s="16" t="str">
        <x:v>Delovna ocena</x:v>
      </x:c>
      <x:c r="E67" s="16" t="str">
        <x:v>validirati z intervjujem</x:v>
      </x:c>
    </x:row>
    <x:row r="68">
      <x:c r="A68" s="17" t="str">
        <x:v>S6</x:v>
      </x:c>
      <x:c r="B68" s="17" t="str">
        <x:v>B04</x:v>
      </x:c>
      <x:c r="C68" s="17" t="n">
        <x:v>11</x:v>
      </x:c>
      <x:c r="D68" s="17" t="str">
        <x:v>Delovna ocena</x:v>
      </x:c>
      <x:c r="E68" s="17" t="str">
        <x:v>validirati z intervjujem</x:v>
      </x:c>
    </x:row>
    <x:row r="69">
      <x:c r="A69" s="16" t="str">
        <x:v>S6</x:v>
      </x:c>
      <x:c r="B69" s="16" t="str">
        <x:v>B05</x:v>
      </x:c>
      <x:c r="C69" s="16" t="n">
        <x:v>11</x:v>
      </x:c>
      <x:c r="D69" s="16" t="str">
        <x:v>Delovna ocena</x:v>
      </x:c>
      <x:c r="E69" s="16" t="str">
        <x:v>validirati z intervjujem</x:v>
      </x:c>
    </x:row>
    <x:row r="70">
      <x:c r="A70" s="17" t="str">
        <x:v>S6</x:v>
      </x:c>
      <x:c r="B70" s="17" t="str">
        <x:v>B06</x:v>
      </x:c>
      <x:c r="C70" s="17" t="n">
        <x:v>11</x:v>
      </x:c>
      <x:c r="D70" s="17" t="str">
        <x:v>Delovna ocena</x:v>
      </x:c>
      <x:c r="E70" s="17" t="str">
        <x:v>validirati z intervjujem</x:v>
      </x:c>
    </x:row>
    <x:row r="71">
      <x:c r="A71" s="16" t="str">
        <x:v>S6</x:v>
      </x:c>
      <x:c r="B71" s="16" t="str">
        <x:v>B07</x:v>
      </x:c>
      <x:c r="C71" s="16" t="n">
        <x:v>11</x:v>
      </x:c>
      <x:c r="D71" s="16" t="str">
        <x:v>Delovna ocena</x:v>
      </x:c>
      <x:c r="E71" s="16" t="str">
        <x:v>validirati z intervjujem</x:v>
      </x:c>
    </x:row>
    <x:row r="72">
      <x:c r="A72" s="17" t="str">
        <x:v>S6</x:v>
      </x:c>
      <x:c r="B72" s="17" t="str">
        <x:v>B08</x:v>
      </x:c>
      <x:c r="C72" s="17" t="n">
        <x:v>10</x:v>
      </x:c>
      <x:c r="D72" s="17" t="str">
        <x:v>Delovna ocena</x:v>
      </x:c>
      <x:c r="E72" s="17" t="str">
        <x:v>validirati z intervjujem</x:v>
      </x:c>
    </x:row>
    <x:row r="73">
      <x:c r="A73" s="16" t="str">
        <x:v>S6</x:v>
      </x:c>
      <x:c r="B73" s="16" t="str">
        <x:v>B09</x:v>
      </x:c>
      <x:c r="C73" s="16" t="n">
        <x:v>10</x:v>
      </x:c>
      <x:c r="D73" s="16" t="str">
        <x:v>Delovna ocena</x:v>
      </x:c>
      <x:c r="E73" s="16" t="str">
        <x:v>validirati z intervjujem</x:v>
      </x:c>
    </x:row>
    <x:row r="74">
      <x:c r="A74" s="17" t="str">
        <x:v>S6</x:v>
      </x:c>
      <x:c r="B74" s="17" t="str">
        <x:v>B10</x:v>
      </x:c>
      <x:c r="C74" s="17" t="n">
        <x:v>10</x:v>
      </x:c>
      <x:c r="D74" s="17" t="str">
        <x:v>Delovna ocena</x:v>
      </x:c>
      <x:c r="E74" s="17" t="str">
        <x:v>validirati z intervjujem</x:v>
      </x:c>
    </x:row>
    <x:row r="75">
      <x:c r="A75" s="16" t="str">
        <x:v>S6</x:v>
      </x:c>
      <x:c r="B75" s="16" t="str">
        <x:v>B11</x:v>
      </x:c>
      <x:c r="C75" s="16" t="n">
        <x:v>10</x:v>
      </x:c>
      <x:c r="D75" s="16" t="str">
        <x:v>Delovna ocena</x:v>
      </x:c>
      <x:c r="E75" s="16" t="str">
        <x:v>validirati z intervjujem</x:v>
      </x:c>
    </x:row>
    <x:row r="76">
      <x:c r="A76" s="17" t="str">
        <x:v>S6</x:v>
      </x:c>
      <x:c r="B76" s="17" t="str">
        <x:v>B12</x:v>
      </x:c>
      <x:c r="C76" s="17" t="n">
        <x:v>9</x:v>
      </x:c>
      <x:c r="D76" s="17" t="str">
        <x:v>Delovna ocena</x:v>
      </x:c>
      <x:c r="E76" s="17" t="str">
        <x:v>validirati z intervjujem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40" hidden="0" customWidth="1"/>
    <x:col min="4" max="4" width="18" hidden="0" customWidth="1"/>
    <x:col min="5" max="5" width="28" hidden="0" customWidth="1"/>
  </x:cols>
  <x:sheetData>
    <x:row r="1" ht="30" customHeight="1">
      <x:c r="A1" s="3" t="str">
        <x:v>Matrika persona → bolečina</x:v>
      </x:c>
    </x:row>
    <x:row r="2" ht="34" customHeight="1">
      <x:c r="A2" s="7" t="str">
        <x:v>Priprava sporočil in intervjujev po vlogi.</x:v>
      </x:c>
    </x:row>
    <x:row r="4" ht="28" customHeight="1">
      <x:c r="A4" s="12" t="str">
        <x:v>Persona</x:v>
      </x:c>
      <x:c r="B4" s="12" t="str">
        <x:v>Pain ID</x:v>
      </x:c>
      <x:c r="C4" s="12" t="str">
        <x:v>Bolečina</x:v>
      </x:c>
      <x:c r="D4" s="12" t="str">
        <x:v>Pomembnost 1-5</x:v>
      </x:c>
      <x:c r="E4" s="12" t="str">
        <x:v>Validacija</x:v>
      </x:c>
    </x:row>
    <x:row r="5">
      <x:c r="A5" s="16" t="str">
        <x:v>Lastnik</x:v>
      </x:c>
      <x:c r="B5" s="16" t="str">
        <x:v>B01</x:v>
      </x:c>
      <x:c r="C5" s="16" t="str">
        <x:v>Pozni/manjkajoči dokumenti</x:v>
      </x:c>
      <x:c r="D5" s="16" t="n">
        <x:v>5</x:v>
      </x:c>
      <x:c r="E5" s="16" t="str">
        <x:v>intervju + opazovanje</x:v>
      </x:c>
    </x:row>
    <x:row r="6">
      <x:c r="A6" s="17" t="str">
        <x:v>Lastnik</x:v>
      </x:c>
      <x:c r="B6" s="17" t="str">
        <x:v>B02</x:v>
      </x:c>
      <x:c r="C6" s="17" t="str">
        <x:v>Več vhodnih kanalov</x:v>
      </x:c>
      <x:c r="D6" s="17" t="n">
        <x:v>5</x:v>
      </x:c>
      <x:c r="E6" s="17" t="str">
        <x:v>intervju + opazovanje</x:v>
      </x:c>
    </x:row>
    <x:row r="7">
      <x:c r="A7" s="16" t="str">
        <x:v>Lastnik</x:v>
      </x:c>
      <x:c r="B7" s="16" t="str">
        <x:v>B03</x:v>
      </x:c>
      <x:c r="C7" s="16" t="str">
        <x:v>Ročni prepis računov</x:v>
      </x:c>
      <x:c r="D7" s="16" t="n">
        <x:v>5</x:v>
      </x:c>
      <x:c r="E7" s="16" t="str">
        <x:v>intervju + opazovanje</x:v>
      </x:c>
    </x:row>
    <x:row r="8">
      <x:c r="A8" s="17" t="str">
        <x:v>Lastnik</x:v>
      </x:c>
      <x:c r="B8" s="17" t="str">
        <x:v>B04</x:v>
      </x:c>
      <x:c r="C8" s="17" t="str">
        <x:v>Neenotni postopki zaposlenih</x:v>
      </x:c>
      <x:c r="D8" s="17" t="n">
        <x:v>5</x:v>
      </x:c>
      <x:c r="E8" s="17" t="str">
        <x:v>intervju + opazovanje</x:v>
      </x:c>
    </x:row>
    <x:row r="9">
      <x:c r="A9" s="16" t="str">
        <x:v>Lastnik</x:v>
      </x:c>
      <x:c r="B9" s="16" t="str">
        <x:v>B05</x:v>
      </x:c>
      <x:c r="C9" s="16" t="str">
        <x:v>Nepregledne izjeme/naloge</x:v>
      </x:c>
      <x:c r="D9" s="16" t="n">
        <x:v>5</x:v>
      </x:c>
      <x:c r="E9" s="16" t="str">
        <x:v>intervju + opazovanje</x:v>
      </x:c>
    </x:row>
    <x:row r="10">
      <x:c r="A10" s="17" t="str">
        <x:v>Lastnik</x:v>
      </x:c>
      <x:c r="B10" s="17" t="str">
        <x:v>B06</x:v>
      </x:c>
      <x:c r="C10" s="17" t="str">
        <x:v>Ročno opominjanje</x:v>
      </x:c>
      <x:c r="D10" s="17" t="n">
        <x:v>5</x:v>
      </x:c>
      <x:c r="E10" s="17" t="str">
        <x:v>intervju + opazovanje</x:v>
      </x:c>
    </x:row>
    <x:row r="11">
      <x:c r="A11" s="16" t="str">
        <x:v>Lastnik</x:v>
      </x:c>
      <x:c r="B11" s="16" t="str">
        <x:v>B07</x:v>
      </x:c>
      <x:c r="C11" s="16" t="str">
        <x:v>Popravki slabih vhodov</x:v>
      </x:c>
      <x:c r="D11" s="16" t="n">
        <x:v>5</x:v>
      </x:c>
      <x:c r="E11" s="16" t="str">
        <x:v>intervju + opazovanje</x:v>
      </x:c>
    </x:row>
    <x:row r="12">
      <x:c r="A12" s="17" t="str">
        <x:v>Vodja računovodstva</x:v>
      </x:c>
      <x:c r="B12" s="17" t="str">
        <x:v>B04</x:v>
      </x:c>
      <x:c r="C12" s="17" t="str">
        <x:v>Neenotni postopki zaposlenih</x:v>
      </x:c>
      <x:c r="D12" s="17" t="n">
        <x:v>4</x:v>
      </x:c>
      <x:c r="E12" s="17" t="str">
        <x:v>intervju + opazovanje</x:v>
      </x:c>
    </x:row>
    <x:row r="13">
      <x:c r="A13" s="16" t="str">
        <x:v>Vodja računovodstva</x:v>
      </x:c>
      <x:c r="B13" s="16" t="str">
        <x:v>B05</x:v>
      </x:c>
      <x:c r="C13" s="16" t="str">
        <x:v>Nepregledne izjeme/naloge</x:v>
      </x:c>
      <x:c r="D13" s="16" t="n">
        <x:v>4</x:v>
      </x:c>
      <x:c r="E13" s="16" t="str">
        <x:v>intervju + opazovanje</x:v>
      </x:c>
    </x:row>
    <x:row r="14">
      <x:c r="A14" s="17" t="str">
        <x:v>Vodja računovodstva</x:v>
      </x:c>
      <x:c r="B14" s="17" t="str">
        <x:v>B06</x:v>
      </x:c>
      <x:c r="C14" s="17" t="str">
        <x:v>Ročno opominjanje</x:v>
      </x:c>
      <x:c r="D14" s="17" t="n">
        <x:v>4</x:v>
      </x:c>
      <x:c r="E14" s="17" t="str">
        <x:v>intervju + opazovanje</x:v>
      </x:c>
    </x:row>
    <x:row r="15">
      <x:c r="A15" s="16" t="str">
        <x:v>Vodja računovodstva</x:v>
      </x:c>
      <x:c r="B15" s="16" t="str">
        <x:v>B07</x:v>
      </x:c>
      <x:c r="C15" s="16" t="str">
        <x:v>Popravki slabih vhodov</x:v>
      </x:c>
      <x:c r="D15" s="16" t="n">
        <x:v>4</x:v>
      </x:c>
      <x:c r="E15" s="16" t="str">
        <x:v>intervju + opazovanje</x:v>
      </x:c>
    </x:row>
    <x:row r="16">
      <x:c r="A16" s="17" t="str">
        <x:v>Vodja računovodstva</x:v>
      </x:c>
      <x:c r="B16" s="17" t="str">
        <x:v>B08</x:v>
      </x:c>
      <x:c r="C16" s="17" t="str">
        <x:v>Neznana donosnost stranke</x:v>
      </x:c>
      <x:c r="D16" s="17" t="n">
        <x:v>4</x:v>
      </x:c>
      <x:c r="E16" s="17" t="str">
        <x:v>intervju + opazovanje</x:v>
      </x:c>
    </x:row>
    <x:row r="17">
      <x:c r="A17" s="16" t="str">
        <x:v>Vodja računovodstva</x:v>
      </x:c>
      <x:c r="B17" s="16" t="str">
        <x:v>B09</x:v>
      </x:c>
      <x:c r="C17" s="16" t="str">
        <x:v>Znanje v glavi posameznika</x:v>
      </x:c>
      <x:c r="D17" s="16" t="n">
        <x:v>4</x:v>
      </x:c>
      <x:c r="E17" s="16" t="str">
        <x:v>intervju + opazovanje</x:v>
      </x:c>
    </x:row>
    <x:row r="18">
      <x:c r="A18" s="17" t="str">
        <x:v>Vodja računovodstva</x:v>
      </x:c>
      <x:c r="B18" s="17" t="str">
        <x:v>B10</x:v>
      </x:c>
      <x:c r="C18" s="17" t="str">
        <x:v>Ročno usklajevanje banke</x:v>
      </x:c>
      <x:c r="D18" s="17" t="n">
        <x:v>4</x:v>
      </x:c>
      <x:c r="E18" s="17" t="str">
        <x:v>intervju + opazovanje</x:v>
      </x:c>
    </x:row>
    <x:row r="19">
      <x:c r="A19" s="16" t="str">
        <x:v>Operativa</x:v>
      </x:c>
      <x:c r="B19" s="16" t="str">
        <x:v>B07</x:v>
      </x:c>
      <x:c r="C19" s="16" t="str">
        <x:v>Popravki slabih vhodov</x:v>
      </x:c>
      <x:c r="D19" s="16" t="n">
        <x:v>3</x:v>
      </x:c>
      <x:c r="E19" s="16" t="str">
        <x:v>intervju + opazovanje</x:v>
      </x:c>
    </x:row>
    <x:row r="20">
      <x:c r="A20" s="17" t="str">
        <x:v>Operativa</x:v>
      </x:c>
      <x:c r="B20" s="17" t="str">
        <x:v>B08</x:v>
      </x:c>
      <x:c r="C20" s="17" t="str">
        <x:v>Neznana donosnost stranke</x:v>
      </x:c>
      <x:c r="D20" s="17" t="n">
        <x:v>3</x:v>
      </x:c>
      <x:c r="E20" s="17" t="str">
        <x:v>intervju + opazovanje</x:v>
      </x:c>
    </x:row>
    <x:row r="21">
      <x:c r="A21" s="16" t="str">
        <x:v>Operativa</x:v>
      </x:c>
      <x:c r="B21" s="16" t="str">
        <x:v>B09</x:v>
      </x:c>
      <x:c r="C21" s="16" t="str">
        <x:v>Znanje v glavi posameznika</x:v>
      </x:c>
      <x:c r="D21" s="16" t="n">
        <x:v>3</x:v>
      </x:c>
      <x:c r="E21" s="16" t="str">
        <x:v>intervju + opazovanje</x:v>
      </x:c>
    </x:row>
    <x:row r="22">
      <x:c r="A22" s="17" t="str">
        <x:v>Operativa</x:v>
      </x:c>
      <x:c r="B22" s="17" t="str">
        <x:v>B10</x:v>
      </x:c>
      <x:c r="C22" s="17" t="str">
        <x:v>Ročno usklajevanje banke</x:v>
      </x:c>
      <x:c r="D22" s="17" t="n">
        <x:v>3</x:v>
      </x:c>
      <x:c r="E22" s="17" t="str">
        <x:v>intervju + opazovanje</x:v>
      </x:c>
    </x:row>
    <x:row r="23">
      <x:c r="A23" s="16" t="str">
        <x:v>Operativa</x:v>
      </x:c>
      <x:c r="B23" s="16" t="str">
        <x:v>B11</x:v>
      </x:c>
      <x:c r="C23" s="16" t="str">
        <x:v>Ročni Exceli za poročanje</x:v>
      </x:c>
      <x:c r="D23" s="16" t="n">
        <x:v>3</x:v>
      </x:c>
      <x:c r="E23" s="16" t="str">
        <x:v>intervju + opazovanje</x:v>
      </x:c>
    </x:row>
    <x:row r="24">
      <x:c r="A24" s="17" t="str">
        <x:v>Operativa</x:v>
      </x:c>
      <x:c r="B24" s="17" t="str">
        <x:v>B12</x:v>
      </x:c>
      <x:c r="C24" s="17" t="str">
        <x:v>Nejasen obseg pavšala</x:v>
      </x:c>
      <x:c r="D24" s="17" t="n">
        <x:v>3</x:v>
      </x:c>
      <x:c r="E24" s="17" t="str">
        <x:v>intervju + opazovanje</x:v>
      </x:c>
    </x:row>
    <x:row r="25">
      <x:c r="A25" s="16" t="str">
        <x:v>Operativa</x:v>
      </x:c>
      <x:c r="B25" s="16" t="str">
        <x:v>B13</x:v>
      </x:c>
      <x:c r="C25" s="16" t="str">
        <x:v>Počasno uvajanje zaposlenih</x:v>
      </x:c>
      <x:c r="D25" s="16" t="n">
        <x:v>3</x:v>
      </x:c>
      <x:c r="E25" s="16" t="str">
        <x:v>intervju + opazovanje</x:v>
      </x:c>
    </x:row>
    <x:row r="26">
      <x:c r="A26" s="17" t="str">
        <x:v>Plače</x:v>
      </x:c>
      <x:c r="B26" s="17" t="str">
        <x:v>B10</x:v>
      </x:c>
      <x:c r="C26" s="17" t="str">
        <x:v>Ročno usklajevanje banke</x:v>
      </x:c>
      <x:c r="D26" s="17" t="n">
        <x:v>5</x:v>
      </x:c>
      <x:c r="E26" s="17" t="str">
        <x:v>intervju + opazovanje</x:v>
      </x:c>
    </x:row>
    <x:row r="27">
      <x:c r="A27" s="16" t="str">
        <x:v>Plače</x:v>
      </x:c>
      <x:c r="B27" s="16" t="str">
        <x:v>B11</x:v>
      </x:c>
      <x:c r="C27" s="16" t="str">
        <x:v>Ročni Exceli za poročanje</x:v>
      </x:c>
      <x:c r="D27" s="16" t="n">
        <x:v>5</x:v>
      </x:c>
      <x:c r="E27" s="16" t="str">
        <x:v>intervju + opazovanje</x:v>
      </x:c>
    </x:row>
    <x:row r="28">
      <x:c r="A28" s="17" t="str">
        <x:v>Plače</x:v>
      </x:c>
      <x:c r="B28" s="17" t="str">
        <x:v>B12</x:v>
      </x:c>
      <x:c r="C28" s="17" t="str">
        <x:v>Nejasen obseg pavšala</x:v>
      </x:c>
      <x:c r="D28" s="17" t="n">
        <x:v>5</x:v>
      </x:c>
      <x:c r="E28" s="17" t="str">
        <x:v>intervju + opazovanje</x:v>
      </x:c>
    </x:row>
    <x:row r="29">
      <x:c r="A29" s="16" t="str">
        <x:v>Plače</x:v>
      </x:c>
      <x:c r="B29" s="16" t="str">
        <x:v>B13</x:v>
      </x:c>
      <x:c r="C29" s="16" t="str">
        <x:v>Počasno uvajanje zaposlenih</x:v>
      </x:c>
      <x:c r="D29" s="16" t="n">
        <x:v>5</x:v>
      </x:c>
      <x:c r="E29" s="16" t="str">
        <x:v>intervju + opazovanje</x:v>
      </x:c>
    </x:row>
    <x:row r="30">
      <x:c r="A30" s="17" t="str">
        <x:v>Plače</x:v>
      </x:c>
      <x:c r="B30" s="17" t="str">
        <x:v>B14</x:v>
      </x:c>
      <x:c r="C30" s="17" t="str">
        <x:v>Težko nadomeščanje</x:v>
      </x:c>
      <x:c r="D30" s="17" t="n">
        <x:v>5</x:v>
      </x:c>
      <x:c r="E30" s="17" t="str">
        <x:v>intervju + opazovanje</x:v>
      </x:c>
    </x:row>
    <x:row r="31">
      <x:c r="A31" s="16" t="str">
        <x:v>Plače</x:v>
      </x:c>
      <x:c r="B31" s="16" t="str">
        <x:v>B15</x:v>
      </x:c>
      <x:c r="C31" s="16" t="str">
        <x:v>Zadnje spremembe pri plačah</x:v>
      </x:c>
      <x:c r="D31" s="16" t="n">
        <x:v>5</x:v>
      </x:c>
      <x:c r="E31" s="16" t="str">
        <x:v>intervju + opazovanje</x:v>
      </x:c>
    </x:row>
    <x:row r="32">
      <x:c r="A32" s="17" t="str">
        <x:v>Plače</x:v>
      </x:c>
      <x:c r="B32" s="17" t="str">
        <x:v>B16</x:v>
      </x:c>
      <x:c r="C32" s="17" t="str">
        <x:v>Podvojeni dokumenti</x:v>
      </x:c>
      <x:c r="D32" s="17" t="n">
        <x:v>5</x:v>
      </x:c>
      <x:c r="E32" s="17" t="str">
        <x:v>intervju + opazovanje</x:v>
      </x:c>
    </x:row>
    <x:row r="33">
      <x:c r="A33" s="16" t="str">
        <x:v>IT</x:v>
      </x:c>
      <x:c r="B33" s="16" t="str">
        <x:v>B13</x:v>
      </x:c>
      <x:c r="C33" s="16" t="str">
        <x:v>Počasno uvajanje zaposlenih</x:v>
      </x:c>
      <x:c r="D33" s="16" t="n">
        <x:v>4</x:v>
      </x:c>
      <x:c r="E33" s="16" t="str">
        <x:v>intervju + opazovanje</x:v>
      </x:c>
    </x:row>
    <x:row r="34">
      <x:c r="A34" s="17" t="str">
        <x:v>IT</x:v>
      </x:c>
      <x:c r="B34" s="17" t="str">
        <x:v>B14</x:v>
      </x:c>
      <x:c r="C34" s="17" t="str">
        <x:v>Težko nadomeščanje</x:v>
      </x:c>
      <x:c r="D34" s="17" t="n">
        <x:v>4</x:v>
      </x:c>
      <x:c r="E34" s="17" t="str">
        <x:v>intervju + opazovanje</x:v>
      </x:c>
    </x:row>
    <x:row r="35">
      <x:c r="A35" s="16" t="str">
        <x:v>IT</x:v>
      </x:c>
      <x:c r="B35" s="16" t="str">
        <x:v>B15</x:v>
      </x:c>
      <x:c r="C35" s="16" t="str">
        <x:v>Zadnje spremembe pri plačah</x:v>
      </x:c>
      <x:c r="D35" s="16" t="n">
        <x:v>4</x:v>
      </x:c>
      <x:c r="E35" s="16" t="str">
        <x:v>intervju + opazovanje</x:v>
      </x:c>
    </x:row>
    <x:row r="36">
      <x:c r="A36" s="17" t="str">
        <x:v>IT</x:v>
      </x:c>
      <x:c r="B36" s="17" t="str">
        <x:v>B16</x:v>
      </x:c>
      <x:c r="C36" s="17" t="str">
        <x:v>Podvojeni dokumenti</x:v>
      </x:c>
      <x:c r="D36" s="17" t="n">
        <x:v>4</x:v>
      </x:c>
      <x:c r="E36" s="17" t="str">
        <x:v>intervju + opazovanje</x:v>
      </x:c>
    </x:row>
    <x:row r="37">
      <x:c r="A37" s="16" t="str">
        <x:v>IT</x:v>
      </x:c>
      <x:c r="B37" s="16" t="str">
        <x:v>B17</x:v>
      </x:c>
      <x:c r="C37" s="16" t="str">
        <x:v>Razpršena komunikacija</x:v>
      </x:c>
      <x:c r="D37" s="16" t="n">
        <x:v>4</x:v>
      </x:c>
      <x:c r="E37" s="16" t="str">
        <x:v>intervju + opazovanje</x:v>
      </x:c>
    </x:row>
    <x:row r="38">
      <x:c r="A38" s="17" t="str">
        <x:v>IT</x:v>
      </x:c>
      <x:c r="B38" s="17" t="str">
        <x:v>B18</x:v>
      </x:c>
      <x:c r="C38" s="17" t="str">
        <x:v>Slaba migracija začetnih stanj</x:v>
      </x:c>
      <x:c r="D38" s="17" t="n">
        <x:v>4</x:v>
      </x:c>
      <x:c r="E38" s="17" t="str">
        <x:v>intervju + opazovanje</x:v>
      </x:c>
    </x:row>
    <x:row r="39">
      <x:c r="A39" s="16" t="str">
        <x:v>IT</x:v>
      </x:c>
      <x:c r="B39" s="16" t="str">
        <x:v>B19</x:v>
      </x:c>
      <x:c r="C39" s="16" t="str">
        <x:v>Premalo časa za svetovanje</x:v>
      </x:c>
      <x:c r="D39" s="16" t="n">
        <x:v>4</x:v>
      </x:c>
      <x:c r="E39" s="16" t="str">
        <x:v>intervju + opazovanje</x:v>
      </x:c>
    </x:row>
    <x:row r="40">
      <x:c r="A40" s="17" t="str">
        <x:v>Stranka</x:v>
      </x:c>
      <x:c r="B40" s="17" t="str">
        <x:v>B16</x:v>
      </x:c>
      <x:c r="C40" s="17" t="str">
        <x:v>Podvojeni dokumenti</x:v>
      </x:c>
      <x:c r="D40" s="17" t="n">
        <x:v>3</x:v>
      </x:c>
      <x:c r="E40" s="17" t="str">
        <x:v>intervju + opazovanje</x:v>
      </x:c>
    </x:row>
    <x:row r="41">
      <x:c r="A41" s="16" t="str">
        <x:v>Stranka</x:v>
      </x:c>
      <x:c r="B41" s="16" t="str">
        <x:v>B17</x:v>
      </x:c>
      <x:c r="C41" s="16" t="str">
        <x:v>Razpršena komunikacija</x:v>
      </x:c>
      <x:c r="D41" s="16" t="n">
        <x:v>3</x:v>
      </x:c>
      <x:c r="E41" s="16" t="str">
        <x:v>intervju + opazovanje</x:v>
      </x:c>
    </x:row>
    <x:row r="42">
      <x:c r="A42" s="17" t="str">
        <x:v>Stranka</x:v>
      </x:c>
      <x:c r="B42" s="17" t="str">
        <x:v>B18</x:v>
      </x:c>
      <x:c r="C42" s="17" t="str">
        <x:v>Slaba migracija začetnih stanj</x:v>
      </x:c>
      <x:c r="D42" s="17" t="n">
        <x:v>3</x:v>
      </x:c>
      <x:c r="E42" s="17" t="str">
        <x:v>intervju + opazovanje</x:v>
      </x:c>
    </x:row>
    <x:row r="43">
      <x:c r="A43" s="16" t="str">
        <x:v>Stranka</x:v>
      </x:c>
      <x:c r="B43" s="16" t="str">
        <x:v>B19</x:v>
      </x:c>
      <x:c r="C43" s="16" t="str">
        <x:v>Premalo časa za svetovanje</x:v>
      </x:c>
      <x:c r="D43" s="16" t="n">
        <x:v>3</x:v>
      </x:c>
      <x:c r="E43" s="16" t="str">
        <x:v>intervju + opazovanje</x:v>
      </x:c>
    </x:row>
    <x:row r="44">
      <x:c r="A44" s="17" t="str">
        <x:v>Stranka</x:v>
      </x:c>
      <x:c r="B44" s="17" t="str">
        <x:v>B20</x:v>
      </x:c>
      <x:c r="C44" s="17" t="str">
        <x:v>Nejasna kontrolna odgovornost</x:v>
      </x:c>
      <x:c r="D44" s="17" t="n">
        <x:v>3</x:v>
      </x:c>
      <x:c r="E44" s="17" t="str">
        <x:v>intervju + opazovanje</x:v>
      </x:c>
    </x:row>
    <x:row r="45">
      <x:c r="A45" s="16" t="str">
        <x:v>Stranka</x:v>
      </x:c>
      <x:c r="B45" s="16" t="str">
        <x:v>B21</x:v>
      </x:c>
      <x:c r="C45" s="16" t="str">
        <x:v>Nepovezani programi strank</x:v>
      </x:c>
      <x:c r="D45" s="16" t="n">
        <x:v>3</x:v>
      </x:c>
      <x:c r="E45" s="16" t="str">
        <x:v>intervju + opazovanje</x:v>
      </x:c>
    </x:row>
    <x:row r="46">
      <x:c r="A46" s="17" t="str">
        <x:v>Stranka</x:v>
      </x:c>
      <x:c r="B46" s="17" t="str">
        <x:v>B22</x:v>
      </x:c>
      <x:c r="C46" s="17" t="str">
        <x:v>Nepredvidljiv TCO</x:v>
      </x:c>
      <x:c r="D46" s="17" t="n">
        <x:v>3</x:v>
      </x:c>
      <x:c r="E46" s="17" t="str">
        <x:v>intervju + opazovanje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0" hidden="0" customWidth="1"/>
    <x:col min="4" max="4" width="30" hidden="0" customWidth="1"/>
    <x:col min="5" max="5" width="24" hidden="0" customWidth="1"/>
  </x:cols>
  <x:sheetData>
    <x:row r="1" ht="30" customHeight="1">
      <x:c r="A1" s="3" t="str">
        <x:v>Matrika proces → KPI</x:v>
      </x:c>
    </x:row>
    <x:row r="2" ht="34" customHeight="1">
      <x:c r="A2" s="7" t="str">
        <x:v>Vsak proces ima primarni kazalnik in merilno okno.</x:v>
      </x:c>
    </x:row>
    <x:row r="4" ht="28" customHeight="1">
      <x:c r="A4" s="12" t="str">
        <x:v>Proces #</x:v>
      </x:c>
      <x:c r="B4" s="12" t="str">
        <x:v>Proces</x:v>
      </x:c>
      <x:c r="C4" s="12" t="str">
        <x:v>KPI ID</x:v>
      </x:c>
      <x:c r="D4" s="12" t="str">
        <x:v>KPI</x:v>
      </x:c>
      <x:c r="E4" s="12" t="str">
        <x:v>Okno</x:v>
      </x:c>
    </x:row>
    <x:row r="5">
      <x:c r="A5" s="16" t="n">
        <x:v>1</x:v>
      </x:c>
      <x:c r="B5" s="16" t="str">
        <x:v>Kvalifikacija</x:v>
      </x:c>
      <x:c r="C5" s="16" t="str">
        <x:v>K01</x:v>
      </x:c>
      <x:c r="D5" s="16" t="str">
        <x:v>čas do ponudbe</x:v>
      </x:c>
      <x:c r="E5" s="16" t="str">
        <x:v>baseline, pilot, 90 dni</x:v>
      </x:c>
    </x:row>
    <x:row r="6">
      <x:c r="A6" s="17" t="n">
        <x:v>2</x:v>
      </x:c>
      <x:c r="B6" s="17" t="str">
        <x:v>Ponudba in pogodba</x:v>
      </x:c>
      <x:c r="C6" s="17" t="str">
        <x:v>K02</x:v>
      </x:c>
      <x:c r="D6" s="17" t="str">
        <x:v>spremembe obsega</x:v>
      </x:c>
      <x:c r="E6" s="17" t="str">
        <x:v>baseline, pilot, 90 dni</x:v>
      </x:c>
    </x:row>
    <x:row r="7">
      <x:c r="A7" s="16" t="n">
        <x:v>3</x:v>
      </x:c>
      <x:c r="B7" s="16" t="str">
        <x:v>AML identifikacija</x:v>
      </x:c>
      <x:c r="C7" s="16" t="str">
        <x:v>K03</x:v>
      </x:c>
      <x:c r="D7" s="16" t="str">
        <x:v>% popolnih dosjejev</x:v>
      </x:c>
      <x:c r="E7" s="16" t="str">
        <x:v>baseline, pilot, 90 dni</x:v>
      </x:c>
    </x:row>
    <x:row r="8">
      <x:c r="A8" s="17" t="n">
        <x:v>4</x:v>
      </x:c>
      <x:c r="B8" s="17" t="str">
        <x:v>Pooblastila</x:v>
      </x:c>
      <x:c r="C8" s="17" t="str">
        <x:v>K04</x:v>
      </x:c>
      <x:c r="D8" s="17" t="str">
        <x:v>dnevi do dostopa</x:v>
      </x:c>
      <x:c r="E8" s="17" t="str">
        <x:v>baseline, pilot, 90 dni</x:v>
      </x:c>
    </x:row>
    <x:row r="9">
      <x:c r="A9" s="16" t="n">
        <x:v>5</x:v>
      </x:c>
      <x:c r="B9" s="16" t="str">
        <x:v>Začetna stanja</x:v>
      </x:c>
      <x:c r="C9" s="16" t="str">
        <x:v>K05</x:v>
      </x:c>
      <x:c r="D9" s="16" t="str">
        <x:v>uskladitvene razlike</x:v>
      </x:c>
      <x:c r="E9" s="16" t="str">
        <x:v>baseline, pilot, 90 dni</x:v>
      </x:c>
    </x:row>
    <x:row r="10">
      <x:c r="A10" s="17" t="n">
        <x:v>6</x:v>
      </x:c>
      <x:c r="B10" s="17" t="str">
        <x:v>Konfiguracija podjetja</x:v>
      </x:c>
      <x:c r="C10" s="17" t="str">
        <x:v>K06</x:v>
      </x:c>
      <x:c r="D10" s="17" t="str">
        <x:v>popravki konfiguracije</x:v>
      </x:c>
      <x:c r="E10" s="17" t="str">
        <x:v>baseline, pilot, 90 dni</x:v>
      </x:c>
    </x:row>
    <x:row r="11">
      <x:c r="A11" s="16" t="n">
        <x:v>7</x:v>
      </x:c>
      <x:c r="B11" s="16" t="str">
        <x:v>Vhodni kanali</x:v>
      </x:c>
      <x:c r="C11" s="16" t="str">
        <x:v>K07</x:v>
      </x:c>
      <x:c r="D11" s="16" t="str">
        <x:v>% strukturiranih vhodov</x:v>
      </x:c>
      <x:c r="E11" s="16" t="str">
        <x:v>baseline, pilot, 90 dni</x:v>
      </x:c>
    </x:row>
    <x:row r="12">
      <x:c r="A12" s="17" t="n">
        <x:v>8</x:v>
      </x:c>
      <x:c r="B12" s="17" t="str">
        <x:v>Zajem dokumentov</x:v>
      </x:c>
      <x:c r="C12" s="17" t="str">
        <x:v>K08</x:v>
      </x:c>
      <x:c r="D12" s="17" t="str">
        <x:v>% do cut-offa</x:v>
      </x:c>
      <x:c r="E12" s="17" t="str">
        <x:v>baseline, pilot, 90 dni</x:v>
      </x:c>
    </x:row>
    <x:row r="13">
      <x:c r="A13" s="16" t="n">
        <x:v>9</x:v>
      </x:c>
      <x:c r="B13" s="16" t="str">
        <x:v>OCR/strukturiranje</x:v>
      </x:c>
      <x:c r="C13" s="16" t="str">
        <x:v>K09</x:v>
      </x:c>
      <x:c r="D13" s="16" t="str">
        <x:v>% brez popravka</x:v>
      </x:c>
      <x:c r="E13" s="16" t="str">
        <x:v>baseline, pilot, 90 dni</x:v>
      </x:c>
    </x:row>
    <x:row r="14">
      <x:c r="A14" s="17" t="n">
        <x:v>10</x:v>
      </x:c>
      <x:c r="B14" s="17" t="str">
        <x:v>Validacija</x:v>
      </x:c>
      <x:c r="C14" s="17" t="str">
        <x:v>K10</x:v>
      </x:c>
      <x:c r="D14" s="17" t="str">
        <x:v>izjeme/100 docs</x:v>
      </x:c>
      <x:c r="E14" s="17" t="str">
        <x:v>baseline, pilot, 90 dni</x:v>
      </x:c>
    </x:row>
    <x:row r="15">
      <x:c r="A15" s="16" t="n">
        <x:v>11</x:v>
      </x:c>
      <x:c r="B15" s="16" t="str">
        <x:v>Odobritev</x:v>
      </x:c>
      <x:c r="C15" s="16" t="str">
        <x:v>K11</x:v>
      </x:c>
      <x:c r="D15" s="16" t="str">
        <x:v>čas odobritve</x:v>
      </x:c>
      <x:c r="E15" s="16" t="str">
        <x:v>baseline, pilot, 90 dni</x:v>
      </x:c>
    </x:row>
    <x:row r="16">
      <x:c r="A16" s="17" t="n">
        <x:v>12</x:v>
      </x:c>
      <x:c r="B16" s="17" t="str">
        <x:v>Kontiranje</x:v>
      </x:c>
      <x:c r="C16" s="17" t="str">
        <x:v>K12</x:v>
      </x:c>
      <x:c r="D16" s="17" t="str">
        <x:v>min/dokument</x:v>
      </x:c>
      <x:c r="E16" s="17" t="str">
        <x:v>baseline, pilot, 90 dni</x:v>
      </x:c>
    </x:row>
    <x:row r="17">
      <x:c r="A17" s="16" t="n">
        <x:v>13</x:v>
      </x:c>
      <x:c r="B17" s="16" t="str">
        <x:v>Knjiženje</x:v>
      </x:c>
      <x:c r="C17" s="16" t="str">
        <x:v>K13</x:v>
      </x:c>
      <x:c r="D17" s="16" t="str">
        <x:v>% avtomatskih knjižb</x:v>
      </x:c>
      <x:c r="E17" s="16" t="str">
        <x:v>baseline, pilot, 90 dni</x:v>
      </x:c>
    </x:row>
    <x:row r="18">
      <x:c r="A18" s="17" t="n">
        <x:v>14</x:v>
      </x:c>
      <x:c r="B18" s="17" t="str">
        <x:v>Banka</x:v>
      </x:c>
      <x:c r="C18" s="17" t="str">
        <x:v>K14</x:v>
      </x:c>
      <x:c r="D18" s="17" t="str">
        <x:v>% samodejnih ujemanj</x:v>
      </x:c>
      <x:c r="E18" s="17" t="str">
        <x:v>baseline, pilot, 90 dni</x:v>
      </x:c>
    </x:row>
    <x:row r="19">
      <x:c r="A19" s="16" t="n">
        <x:v>15</x:v>
      </x:c>
      <x:c r="B19" s="16" t="str">
        <x:v>Saldakonti</x:v>
      </x:c>
      <x:c r="C19" s="16" t="str">
        <x:v>K15</x:v>
      </x:c>
      <x:c r="D19" s="16" t="str">
        <x:v>staranje postavk</x:v>
      </x:c>
      <x:c r="E19" s="16" t="str">
        <x:v>baseline, pilot, 90 dni</x:v>
      </x:c>
    </x:row>
    <x:row r="20">
      <x:c r="A20" s="17" t="n">
        <x:v>16</x:v>
      </x:c>
      <x:c r="B20" s="17" t="str">
        <x:v>DDV</x:v>
      </x:c>
      <x:c r="C20" s="17" t="str">
        <x:v>K16</x:v>
      </x:c>
      <x:c r="D20" s="17" t="str">
        <x:v>popravki/100 strank</x:v>
      </x:c>
      <x:c r="E20" s="17" t="str">
        <x:v>baseline, pilot, 90 dni</x:v>
      </x:c>
    </x:row>
    <x:row r="21">
      <x:c r="A21" s="16" t="n">
        <x:v>17</x:v>
      </x:c>
      <x:c r="B21" s="16" t="str">
        <x:v>Osnovna sredstva</x:v>
      </x:c>
      <x:c r="C21" s="16" t="str">
        <x:v>K17</x:v>
      </x:c>
      <x:c r="D21" s="16" t="str">
        <x:v>usklajenost registra</x:v>
      </x:c>
      <x:c r="E21" s="16" t="str">
        <x:v>baseline, pilot, 90 dni</x:v>
      </x:c>
    </x:row>
    <x:row r="22">
      <x:c r="A22" s="17" t="n">
        <x:v>18</x:v>
      </x:c>
      <x:c r="B22" s="17" t="str">
        <x:v>Zaloge</x:v>
      </x:c>
      <x:c r="C22" s="17" t="str">
        <x:v>K18</x:v>
      </x:c>
      <x:c r="D22" s="17" t="str">
        <x:v>inventurne razlike</x:v>
      </x:c>
      <x:c r="E22" s="17" t="str">
        <x:v>baseline, pilot, 90 dni</x:v>
      </x:c>
    </x:row>
    <x:row r="23">
      <x:c r="A23" s="16" t="n">
        <x:v>19</x:v>
      </x:c>
      <x:c r="B23" s="16" t="str">
        <x:v>Plače in kadri</x:v>
      </x:c>
      <x:c r="C23" s="16" t="str">
        <x:v>K01</x:v>
      </x:c>
      <x:c r="D23" s="16" t="str">
        <x:v>popravki/100 zaposlenih</x:v>
      </x:c>
      <x:c r="E23" s="16" t="str">
        <x:v>baseline, pilot, 90 dni</x:v>
      </x:c>
    </x:row>
    <x:row r="24">
      <x:c r="A24" s="17" t="n">
        <x:v>20</x:v>
      </x:c>
      <x:c r="B24" s="17" t="str">
        <x:v>Mesečni cut-off</x:v>
      </x:c>
      <x:c r="C24" s="17" t="str">
        <x:v>K02</x:v>
      </x:c>
      <x:c r="D24" s="17" t="str">
        <x:v>% dokumentov do cut-offa</x:v>
      </x:c>
      <x:c r="E24" s="17" t="str">
        <x:v>baseline, pilot, 90 dni</x:v>
      </x:c>
    </x:row>
    <x:row r="25">
      <x:c r="A25" s="16" t="n">
        <x:v>21</x:v>
      </x:c>
      <x:c r="B25" s="16" t="str">
        <x:v>Kontrole zaključka</x:v>
      </x:c>
      <x:c r="C25" s="16" t="str">
        <x:v>K03</x:v>
      </x:c>
      <x:c r="D25" s="16" t="str">
        <x:v>odprte kontrole</x:v>
      </x:c>
      <x:c r="E25" s="16" t="str">
        <x:v>baseline, pilot, 90 dni</x:v>
      </x:c>
    </x:row>
    <x:row r="26">
      <x:c r="A26" s="17" t="n">
        <x:v>22</x:v>
      </x:c>
      <x:c r="B26" s="17" t="str">
        <x:v>Poročanje stranki</x:v>
      </x:c>
      <x:c r="C26" s="17" t="str">
        <x:v>K04</x:v>
      </x:c>
      <x:c r="D26" s="17" t="str">
        <x:v>čas do poročila</x:v>
      </x:c>
      <x:c r="E26" s="17" t="str">
        <x:v>baseline, pilot, 90 dni</x:v>
      </x:c>
    </x:row>
    <x:row r="27">
      <x:c r="A27" s="16" t="n">
        <x:v>23</x:v>
      </x:c>
      <x:c r="B27" s="16" t="str">
        <x:v>Davčne oddaje</x:v>
      </x:c>
      <x:c r="C27" s="16" t="str">
        <x:v>K05</x:v>
      </x:c>
      <x:c r="D27" s="16" t="str">
        <x:v>oddaje po roku</x:v>
      </x:c>
      <x:c r="E27" s="16" t="str">
        <x:v>baseline, pilot, 90 dni</x:v>
      </x:c>
    </x:row>
    <x:row r="28">
      <x:c r="A28" s="17" t="n">
        <x:v>24</x:v>
      </x:c>
      <x:c r="B28" s="17" t="str">
        <x:v>Letni zaključek</x:v>
      </x:c>
      <x:c r="C28" s="17" t="str">
        <x:v>K06</x:v>
      </x:c>
      <x:c r="D28" s="17" t="str">
        <x:v>ure/stranko</x:v>
      </x:c>
      <x:c r="E28" s="17" t="str">
        <x:v>baseline, pilot, 90 dni</x:v>
      </x:c>
    </x:row>
    <x:row r="29">
      <x:c r="A29" s="16" t="n">
        <x:v>25</x:v>
      </x:c>
      <x:c r="B29" s="16" t="str">
        <x:v>AJPES</x:v>
      </x:c>
      <x:c r="C29" s="16" t="str">
        <x:v>K07</x:v>
      </x:c>
      <x:c r="D29" s="16" t="str">
        <x:v>čas in popravki</x:v>
      </x:c>
      <x:c r="E29" s="16" t="str">
        <x:v>baseline, pilot, 90 dni</x:v>
      </x:c>
    </x:row>
    <x:row r="30">
      <x:c r="A30" s="17" t="n">
        <x:v>26</x:v>
      </x:c>
      <x:c r="B30" s="17" t="str">
        <x:v>Nadzor/revizija</x:v>
      </x:c>
      <x:c r="C30" s="17" t="str">
        <x:v>K08</x:v>
      </x:c>
      <x:c r="D30" s="17" t="str">
        <x:v>čas do dokazila</x:v>
      </x:c>
      <x:c r="E30" s="17" t="str">
        <x:v>baseline, pilot, 90 dni</x:v>
      </x:c>
    </x:row>
    <x:row r="31">
      <x:c r="A31" s="16" t="n">
        <x:v>27</x:v>
      </x:c>
      <x:c r="B31" s="16" t="str">
        <x:v>Arhiv in hramba</x:v>
      </x:c>
      <x:c r="C31" s="16" t="str">
        <x:v>K09</x:v>
      </x:c>
      <x:c r="D31" s="16" t="str">
        <x:v>delež sledljivih dokumentov</x:v>
      </x:c>
      <x:c r="E31" s="16" t="str">
        <x:v>baseline, pilot, 90 dni</x:v>
      </x:c>
    </x:row>
    <x:row r="32">
      <x:c r="A32" s="17" t="n">
        <x:v>28</x:v>
      </x:c>
      <x:c r="B32" s="17" t="str">
        <x:v>Offboarding/prenos</x:v>
      </x:c>
      <x:c r="C32" s="17" t="str">
        <x:v>K10</x:v>
      </x:c>
      <x:c r="D32" s="17" t="str">
        <x:v>dnevi do zaključka prenosa</x:v>
      </x:c>
      <x:c r="E32" s="17" t="str">
        <x:v>baseline, pilot, 90 dni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24" hidden="0" customWidth="1"/>
    <x:col min="5" max="5" width="44" hidden="0" customWidth="1"/>
    <x:col min="6" max="6" width="28" hidden="0" customWidth="1"/>
  </x:cols>
  <x:sheetData>
    <x:row r="1" ht="30" customHeight="1">
      <x:c r="A1" s="3" t="str">
        <x:v>Bolečina → finančni učinek</x:v>
      </x:c>
    </x:row>
    <x:row r="2" ht="34" customHeight="1">
      <x:c r="A2" s="7" t="str">
        <x:v>Ne enačite prihranjenih ur z denarnim prihrankom.</x:v>
      </x:c>
    </x:row>
    <x:row r="4" ht="28" customHeight="1">
      <x:c r="A4" s="12" t="str">
        <x:v>Pain ID</x:v>
      </x:c>
      <x:c r="B4" s="12" t="str">
        <x:v>Bolečina</x:v>
      </x:c>
      <x:c r="C4" s="12" t="str">
        <x:v>Učinek</x:v>
      </x:c>
      <x:c r="D4" s="12" t="str">
        <x:v>KPI</x:v>
      </x:c>
      <x:c r="E4" s="12" t="str">
        <x:v>Model</x:v>
      </x:c>
      <x:c r="F4" s="12" t="str">
        <x:v>Opozorilo</x:v>
      </x:c>
    </x:row>
    <x:row r="5">
      <x:c r="A5" s="16" t="str">
        <x:v>B01</x:v>
      </x:c>
      <x:c r="B5" s="16" t="str">
        <x:v>Pozni/manjkajoči dokumenti</x:v>
      </x:c>
      <x:c r="C5" s="16" t="str">
        <x:v>nadure, zamude</x:v>
      </x:c>
      <x:c r="D5" s="16" t="str">
        <x:v>% do cut-offa</x:v>
      </x:c>
      <x:c r="E5" s="16" t="str">
        <x:v>ure x polni strošek; tveganje = verjetnost x posledica</x:v>
      </x:c>
      <x:c r="F5" s="16" t="str">
        <x:v>preveriti monetizacijo</x:v>
      </x:c>
    </x:row>
    <x:row r="6">
      <x:c r="A6" s="17" t="str">
        <x:v>B02</x:v>
      </x:c>
      <x:c r="B6" s="17" t="str">
        <x:v>Več vhodnih kanalov</x:v>
      </x:c>
      <x:c r="C6" s="17" t="str">
        <x:v>preklapljanje, izgube</x:v>
      </x:c>
      <x:c r="D6" s="17" t="str">
        <x:v>% strukturiranih vhodov</x:v>
      </x:c>
      <x:c r="E6" s="17" t="str">
        <x:v>ure x polni strošek; tveganje = verjetnost x posledica</x:v>
      </x:c>
      <x:c r="F6" s="17" t="str">
        <x:v>preveriti monetizacijo</x:v>
      </x:c>
    </x:row>
    <x:row r="7">
      <x:c r="A7" s="16" t="str">
        <x:v>B03</x:v>
      </x:c>
      <x:c r="B7" s="16" t="str">
        <x:v>Ročni prepis računov</x:v>
      </x:c>
      <x:c r="C7" s="16" t="str">
        <x:v>strošek ure, napake</x:v>
      </x:c>
      <x:c r="D7" s="16" t="str">
        <x:v>min/dokument</x:v>
      </x:c>
      <x:c r="E7" s="16" t="str">
        <x:v>ure x polni strošek; tveganje = verjetnost x posledica</x:v>
      </x:c>
      <x:c r="F7" s="16" t="str">
        <x:v>preveriti monetizacijo</x:v>
      </x:c>
    </x:row>
    <x:row r="8">
      <x:c r="A8" s="17" t="str">
        <x:v>B04</x:v>
      </x:c>
      <x:c r="B8" s="17" t="str">
        <x:v>Neenotni postopki zaposlenih</x:v>
      </x:c>
      <x:c r="C8" s="17" t="str">
        <x:v>nadzor, nadomeščanje</x:v>
      </x:c>
      <x:c r="D8" s="17" t="str">
        <x:v>odstopanja postopka</x:v>
      </x:c>
      <x:c r="E8" s="17" t="str">
        <x:v>ure x polni strošek; tveganje = verjetnost x posledica</x:v>
      </x:c>
      <x:c r="F8" s="17" t="str">
        <x:v>preveriti monetizacijo</x:v>
      </x:c>
    </x:row>
    <x:row r="9">
      <x:c r="A9" s="16" t="str">
        <x:v>B05</x:v>
      </x:c>
      <x:c r="B9" s="16" t="str">
        <x:v>Nepregledne izjeme/naloge</x:v>
      </x:c>
      <x:c r="C9" s="16" t="str">
        <x:v>zamude, eskalacije</x:v>
      </x:c>
      <x:c r="D9" s="16" t="str">
        <x:v>stare odprte naloge</x:v>
      </x:c>
      <x:c r="E9" s="16" t="str">
        <x:v>ure x polni strošek; tveganje = verjetnost x posledica</x:v>
      </x:c>
      <x:c r="F9" s="16" t="str">
        <x:v>preveriti monetizacijo</x:v>
      </x:c>
    </x:row>
    <x:row r="10">
      <x:c r="A10" s="17" t="str">
        <x:v>B06</x:v>
      </x:c>
      <x:c r="B10" s="17" t="str">
        <x:v>Ročno opominjanje</x:v>
      </x:c>
      <x:c r="C10" s="17" t="str">
        <x:v>neproduktivne ure</x:v>
      </x:c>
      <x:c r="D10" s="17" t="str">
        <x:v>ure opominjanja</x:v>
      </x:c>
      <x:c r="E10" s="17" t="str">
        <x:v>ure x polni strošek; tveganje = verjetnost x posledica</x:v>
      </x:c>
      <x:c r="F10" s="17" t="str">
        <x:v>preveriti monetizacijo</x:v>
      </x:c>
    </x:row>
    <x:row r="11">
      <x:c r="A11" s="16" t="str">
        <x:v>B07</x:v>
      </x:c>
      <x:c r="B11" s="16" t="str">
        <x:v>Popravki slabih vhodov</x:v>
      </x:c>
      <x:c r="C11" s="16" t="str">
        <x:v>rework, tveganje</x:v>
      </x:c>
      <x:c r="D11" s="16" t="str">
        <x:v>izjeme/100 docs</x:v>
      </x:c>
      <x:c r="E11" s="16" t="str">
        <x:v>ure x polni strošek; tveganje = verjetnost x posledica</x:v>
      </x:c>
      <x:c r="F11" s="16" t="str">
        <x:v>preveriti monetizacijo</x:v>
      </x:c>
    </x:row>
    <x:row r="12">
      <x:c r="A12" s="17" t="str">
        <x:v>B08</x:v>
      </x:c>
      <x:c r="B12" s="17" t="str">
        <x:v>Neznana donosnost stranke</x:v>
      </x:c>
      <x:c r="C12" s="17" t="str">
        <x:v>subvencioniranje</x:v>
      </x:c>
      <x:c r="D12" s="17" t="str">
        <x:v>prispevna marža</x:v>
      </x:c>
      <x:c r="E12" s="17" t="str">
        <x:v>ure x polni strošek; tveganje = verjetnost x posledica</x:v>
      </x:c>
      <x:c r="F12" s="17" t="str">
        <x:v>preveriti monetizacijo</x:v>
      </x:c>
    </x:row>
    <x:row r="13">
      <x:c r="A13" s="16" t="str">
        <x:v>B09</x:v>
      </x:c>
      <x:c r="B13" s="16" t="str">
        <x:v>Znanje v glavi posameznika</x:v>
      </x:c>
      <x:c r="C13" s="16" t="str">
        <x:v>ključna oseba</x:v>
      </x:c>
      <x:c r="D13" s="16" t="str">
        <x:v>čas nadomeščanja</x:v>
      </x:c>
      <x:c r="E13" s="16" t="str">
        <x:v>ure x polni strošek; tveganje = verjetnost x posledica</x:v>
      </x:c>
      <x:c r="F13" s="16" t="str">
        <x:v>preveriti monetizacijo</x:v>
      </x:c>
    </x:row>
    <x:row r="14">
      <x:c r="A14" s="17" t="str">
        <x:v>B10</x:v>
      </x:c>
      <x:c r="B14" s="17" t="str">
        <x:v>Ročno usklajevanje banke</x:v>
      </x:c>
      <x:c r="C14" s="17" t="str">
        <x:v>ure, napake</x:v>
      </x:c>
      <x:c r="D14" s="17" t="str">
        <x:v>% auto-match</x:v>
      </x:c>
      <x:c r="E14" s="17" t="str">
        <x:v>ure x polni strošek; tveganje = verjetnost x posledica</x:v>
      </x:c>
      <x:c r="F14" s="17" t="str">
        <x:v>preveriti monetizacijo</x:v>
      </x:c>
    </x:row>
    <x:row r="15">
      <x:c r="A15" s="16" t="str">
        <x:v>B11</x:v>
      </x:c>
      <x:c r="B15" s="16" t="str">
        <x:v>Ročni Exceli za poročanje</x:v>
      </x:c>
      <x:c r="C15" s="16" t="str">
        <x:v>ure, verzije</x:v>
      </x:c>
      <x:c r="D15" s="16" t="str">
        <x:v>čas do poročila</x:v>
      </x:c>
      <x:c r="E15" s="16" t="str">
        <x:v>ure x polni strošek; tveganje = verjetnost x posledica</x:v>
      </x:c>
      <x:c r="F15" s="16" t="str">
        <x:v>preveriti monetizacijo</x:v>
      </x:c>
    </x:row>
    <x:row r="16">
      <x:c r="A16" s="17" t="str">
        <x:v>B12</x:v>
      </x:c>
      <x:c r="B16" s="17" t="str">
        <x:v>Nejasen obseg pavšala</x:v>
      </x:c>
      <x:c r="C16" s="17" t="str">
        <x:v>erozija marže</x:v>
      </x:c>
      <x:c r="D16" s="17" t="str">
        <x:v>dela izven obsega</x:v>
      </x:c>
      <x:c r="E16" s="17" t="str">
        <x:v>ure x polni strošek; tveganje = verjetnost x posledica</x:v>
      </x:c>
      <x:c r="F16" s="17" t="str">
        <x:v>preveriti monetizacijo</x:v>
      </x:c>
    </x:row>
    <x:row r="17">
      <x:c r="A17" s="16" t="str">
        <x:v>B13</x:v>
      </x:c>
      <x:c r="B17" s="16" t="str">
        <x:v>Počasno uvajanje zaposlenih</x:v>
      </x:c>
      <x:c r="C17" s="16" t="str">
        <x:v>zamujena kapaciteta</x:v>
      </x:c>
      <x:c r="D17" s="16" t="str">
        <x:v>dnevi do produktivnosti</x:v>
      </x:c>
      <x:c r="E17" s="16" t="str">
        <x:v>ure x polni strošek; tveganje = verjetnost x posledica</x:v>
      </x:c>
      <x:c r="F17" s="16" t="str">
        <x:v>preveriti monetizacijo</x:v>
      </x:c>
    </x:row>
    <x:row r="18">
      <x:c r="A18" s="17" t="str">
        <x:v>B14</x:v>
      </x:c>
      <x:c r="B18" s="17" t="str">
        <x:v>Težko nadomeščanje</x:v>
      </x:c>
      <x:c r="C18" s="17" t="str">
        <x:v>operativna krhkost</x:v>
      </x:c>
      <x:c r="D18" s="17" t="str">
        <x:v>nepokrite naloge</x:v>
      </x:c>
      <x:c r="E18" s="17" t="str">
        <x:v>ure x polni strošek; tveganje = verjetnost x posledica</x:v>
      </x:c>
      <x:c r="F18" s="17" t="str">
        <x:v>preveriti monetizacijo</x:v>
      </x:c>
    </x:row>
    <x:row r="19">
      <x:c r="A19" s="16" t="str">
        <x:v>B15</x:v>
      </x:c>
      <x:c r="B19" s="16" t="str">
        <x:v>Zadnje spremembe pri plačah</x:v>
      </x:c>
      <x:c r="C19" s="16" t="str">
        <x:v>popravki in stres</x:v>
      </x:c>
      <x:c r="D19" s="16" t="str">
        <x:v>pozni vhodi</x:v>
      </x:c>
      <x:c r="E19" s="16" t="str">
        <x:v>ure x polni strošek; tveganje = verjetnost x posledica</x:v>
      </x:c>
      <x:c r="F19" s="16" t="str">
        <x:v>preveriti monetizacijo</x:v>
      </x:c>
    </x:row>
    <x:row r="20">
      <x:c r="A20" s="17" t="str">
        <x:v>B16</x:v>
      </x:c>
      <x:c r="B20" s="17" t="str">
        <x:v>Podvojeni dokumenti</x:v>
      </x:c>
      <x:c r="C20" s="17" t="str">
        <x:v>napačne obveznosti</x:v>
      </x:c>
      <x:c r="D20" s="17" t="str">
        <x:v>duplikati/1000</x:v>
      </x:c>
      <x:c r="E20" s="17" t="str">
        <x:v>ure x polni strošek; tveganje = verjetnost x posledica</x:v>
      </x:c>
      <x:c r="F20" s="17" t="str">
        <x:v>preveriti monetizacijo</x:v>
      </x:c>
    </x:row>
    <x:row r="21">
      <x:c r="A21" s="16" t="str">
        <x:v>B17</x:v>
      </x:c>
      <x:c r="B21" s="16" t="str">
        <x:v>Razpršena komunikacija</x:v>
      </x:c>
      <x:c r="C21" s="16" t="str">
        <x:v>iskanje, nesporazumi</x:v>
      </x:c>
      <x:c r="D21" s="16" t="str">
        <x:v>čas odziva</x:v>
      </x:c>
      <x:c r="E21" s="16" t="str">
        <x:v>ure x polni strošek; tveganje = verjetnost x posledica</x:v>
      </x:c>
      <x:c r="F21" s="16" t="str">
        <x:v>preveriti monetizacijo</x:v>
      </x:c>
    </x:row>
    <x:row r="22">
      <x:c r="A22" s="17" t="str">
        <x:v>B18</x:v>
      </x:c>
      <x:c r="B22" s="17" t="str">
        <x:v>Slaba migracija začetnih stanj</x:v>
      </x:c>
      <x:c r="C22" s="17" t="str">
        <x:v>popravki, zamuda</x:v>
      </x:c>
      <x:c r="D22" s="17" t="str">
        <x:v>uskladitvene razlike</x:v>
      </x:c>
      <x:c r="E22" s="17" t="str">
        <x:v>ure x polni strošek; tveganje = verjetnost x posledica</x:v>
      </x:c>
      <x:c r="F22" s="17" t="str">
        <x:v>preveriti monetizacijo</x:v>
      </x:c>
    </x:row>
    <x:row r="23">
      <x:c r="A23" s="16" t="str">
        <x:v>B19</x:v>
      </x:c>
      <x:c r="B23" s="16" t="str">
        <x:v>Premalo časa za svetovanje</x:v>
      </x:c>
      <x:c r="C23" s="16" t="str">
        <x:v>izgubljen prihodek</x:v>
      </x:c>
      <x:c r="D23" s="16" t="str">
        <x:v>svetovalne ure</x:v>
      </x:c>
      <x:c r="E23" s="16" t="str">
        <x:v>ure x polni strošek; tveganje = verjetnost x posledica</x:v>
      </x:c>
      <x:c r="F23" s="16" t="str">
        <x:v>preveriti monetizacijo</x:v>
      </x:c>
    </x:row>
    <x:row r="24">
      <x:c r="A24" s="17" t="str">
        <x:v>B20</x:v>
      </x:c>
      <x:c r="B24" s="17" t="str">
        <x:v>Nejasna kontrolna odgovornost</x:v>
      </x:c>
      <x:c r="C24" s="17" t="str">
        <x:v>spregled napake</x:v>
      </x:c>
      <x:c r="D24" s="17" t="str">
        <x:v>kontrole brez lastnika</x:v>
      </x:c>
      <x:c r="E24" s="17" t="str">
        <x:v>ure x polni strošek; tveganje = verjetnost x posledica</x:v>
      </x:c>
      <x:c r="F24" s="17" t="str">
        <x:v>preveriti monetizacijo</x:v>
      </x:c>
    </x:row>
    <x:row r="25">
      <x:c r="A25" s="16" t="str">
        <x:v>B21</x:v>
      </x:c>
      <x:c r="B25" s="16" t="str">
        <x:v>Nepovezani programi strank</x:v>
      </x:c>
      <x:c r="C25" s="16" t="str">
        <x:v>ročen prenos</x:v>
      </x:c>
      <x:c r="D25" s="16" t="str">
        <x:v>ročni prenosi/mesec</x:v>
      </x:c>
      <x:c r="E25" s="16" t="str">
        <x:v>ure x polni strošek; tveganje = verjetnost x posledica</x:v>
      </x:c>
      <x:c r="F25" s="16" t="str">
        <x:v>preveriti monetizacijo</x:v>
      </x:c>
    </x:row>
    <x:row r="26">
      <x:c r="A26" s="17" t="str">
        <x:v>B22</x:v>
      </x:c>
      <x:c r="B26" s="17" t="str">
        <x:v>Nepredvidljiv TCO</x:v>
      </x:c>
      <x:c r="C26" s="17" t="str">
        <x:v>prekoračitev proračuna</x:v>
      </x:c>
      <x:c r="D26" s="17" t="str">
        <x:v>odstopanje TCO</x:v>
      </x:c>
      <x:c r="E26" s="17" t="str">
        <x:v>ure x polni strošek; tveganje = verjetnost x posledica</x:v>
      </x:c>
      <x:c r="F26" s="17" t="str">
        <x:v>preveriti monetizacijo</x:v>
      </x:c>
    </x:row>
    <x:row r="27">
      <x:c r="A27" s="16" t="str">
        <x:v>B23</x:v>
      </x:c>
      <x:c r="B27" s="16" t="str">
        <x:v>Različna zrelost strank</x:v>
      </x:c>
      <x:c r="C27" s="16" t="str">
        <x:v>neenoten tok</x:v>
      </x:c>
      <x:c r="D27" s="16" t="str">
        <x:v>sprejetje po stranki</x:v>
      </x:c>
      <x:c r="E27" s="16" t="str">
        <x:v>ure x polni strošek; tveganje = verjetnost x posledica</x:v>
      </x:c>
      <x:c r="F27" s="16" t="str">
        <x:v>preveriti monetizacijo</x:v>
      </x:c>
    </x:row>
    <x:row r="28">
      <x:c r="A28" s="17" t="str">
        <x:v>B24</x:v>
      </x:c>
      <x:c r="B28" s="17" t="str">
        <x:v>Pooblastila in dostopi</x:v>
      </x:c>
      <x:c r="C28" s="17" t="str">
        <x:v>zamuda/zloraba</x:v>
      </x:c>
      <x:c r="D28" s="17" t="str">
        <x:v>neaktivni dostopi</x:v>
      </x:c>
      <x:c r="E28" s="17" t="str">
        <x:v>ure x polni strošek; tveganje = verjetnost x posledica</x:v>
      </x:c>
      <x:c r="F28" s="17" t="str">
        <x:v>preveriti monetizacijo</x:v>
      </x:c>
    </x:row>
    <x:row r="29">
      <x:c r="A29" s="16" t="str">
        <x:v>B25</x:v>
      </x:c>
      <x:c r="B29" s="16" t="str">
        <x:v>AML/GDPR/revizijska sled</x:v>
      </x:c>
      <x:c r="C29" s="16" t="str">
        <x:v>kazen, reputacija</x:v>
      </x:c>
      <x:c r="D29" s="16" t="str">
        <x:v>nepopolne kontrole</x:v>
      </x:c>
      <x:c r="E29" s="16" t="str">
        <x:v>ure x polni strošek; tveganje = verjetnost x posledica</x:v>
      </x:c>
      <x:c r="F29" s="16" t="str">
        <x:v>preveriti monetizacijo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8" hidden="0" customWidth="1"/>
    <x:col min="3" max="3" width="26" hidden="0" customWidth="1"/>
    <x:col min="4" max="4" width="32" hidden="0" customWidth="1"/>
    <x:col min="5" max="5" width="16" hidden="0" customWidth="1"/>
    <x:col min="6" max="6" width="22" hidden="0" customWidth="1"/>
    <x:col min="7" max="7" width="28" hidden="0" customWidth="1"/>
  </x:cols>
  <x:sheetData>
    <x:row r="1" ht="30" customHeight="1">
      <x:c r="A1" s="3" t="str">
        <x:v>Problem → potrebni podatki</x:v>
      </x:c>
    </x:row>
    <x:row r="2" ht="34" customHeight="1">
      <x:c r="A2" s="7" t="str">
        <x:v>Minimalni podatkovni načrt za dokaz vrednosti.</x:v>
      </x:c>
    </x:row>
    <x:row r="4" ht="28" customHeight="1">
      <x:c r="A4" s="12" t="str">
        <x:v>Pain ID</x:v>
      </x:c>
      <x:c r="B4" s="12" t="str">
        <x:v>Problem</x:v>
      </x:c>
      <x:c r="C4" s="12" t="str">
        <x:v>KPI</x:v>
      </x:c>
      <x:c r="D4" s="12" t="str">
        <x:v>Vir podatkov</x:v>
      </x:c>
      <x:c r="E4" s="12" t="str">
        <x:v>Frekvenca</x:v>
      </x:c>
      <x:c r="F4" s="12" t="str">
        <x:v>Lastnik</x:v>
      </x:c>
      <x:c r="G4" s="12" t="str">
        <x:v>Eksperiment</x:v>
      </x:c>
    </x:row>
    <x:row r="5">
      <x:c r="A5" s="16" t="str">
        <x:v>B01</x:v>
      </x:c>
      <x:c r="B5" s="16" t="str">
        <x:v>Pozni/manjkajoči dokumenti</x:v>
      </x:c>
      <x:c r="C5" s="16" t="str">
        <x:v>% do cut-offa</x:v>
      </x:c>
      <x:c r="D5" s="16" t="str">
        <x:v>transakcijski sistem + time study</x:v>
      </x:c>
      <x:c r="E5" s="16" t="str">
        <x:v>mesečno</x:v>
      </x:c>
      <x:c r="F5" s="16" t="str">
        <x:v>lastnik procesa</x:v>
      </x:c>
      <x:c r="G5" s="16" t="str">
        <x:v>baseline + pilot</x:v>
      </x:c>
    </x:row>
    <x:row r="6">
      <x:c r="A6" s="17" t="str">
        <x:v>B02</x:v>
      </x:c>
      <x:c r="B6" s="17" t="str">
        <x:v>Več vhodnih kanalov</x:v>
      </x:c>
      <x:c r="C6" s="17" t="str">
        <x:v>% strukturiranih vhodov</x:v>
      </x:c>
      <x:c r="D6" s="17" t="str">
        <x:v>transakcijski sistem + time study</x:v>
      </x:c>
      <x:c r="E6" s="17" t="str">
        <x:v>mesečno</x:v>
      </x:c>
      <x:c r="F6" s="17" t="str">
        <x:v>lastnik procesa</x:v>
      </x:c>
      <x:c r="G6" s="17" t="str">
        <x:v>baseline + pilot</x:v>
      </x:c>
    </x:row>
    <x:row r="7">
      <x:c r="A7" s="16" t="str">
        <x:v>B03</x:v>
      </x:c>
      <x:c r="B7" s="16" t="str">
        <x:v>Ročni prepis računov</x:v>
      </x:c>
      <x:c r="C7" s="16" t="str">
        <x:v>min/dokument</x:v>
      </x:c>
      <x:c r="D7" s="16" t="str">
        <x:v>transakcijski sistem + time study</x:v>
      </x:c>
      <x:c r="E7" s="16" t="str">
        <x:v>mesečno</x:v>
      </x:c>
      <x:c r="F7" s="16" t="str">
        <x:v>lastnik procesa</x:v>
      </x:c>
      <x:c r="G7" s="16" t="str">
        <x:v>baseline + pilot</x:v>
      </x:c>
    </x:row>
    <x:row r="8">
      <x:c r="A8" s="17" t="str">
        <x:v>B04</x:v>
      </x:c>
      <x:c r="B8" s="17" t="str">
        <x:v>Neenotni postopki zaposlenih</x:v>
      </x:c>
      <x:c r="C8" s="17" t="str">
        <x:v>odstopanja postopka</x:v>
      </x:c>
      <x:c r="D8" s="17" t="str">
        <x:v>transakcijski sistem + time study</x:v>
      </x:c>
      <x:c r="E8" s="17" t="str">
        <x:v>mesečno</x:v>
      </x:c>
      <x:c r="F8" s="17" t="str">
        <x:v>lastnik procesa</x:v>
      </x:c>
      <x:c r="G8" s="17" t="str">
        <x:v>baseline + pilot</x:v>
      </x:c>
    </x:row>
    <x:row r="9">
      <x:c r="A9" s="16" t="str">
        <x:v>B05</x:v>
      </x:c>
      <x:c r="B9" s="16" t="str">
        <x:v>Nepregledne izjeme/naloge</x:v>
      </x:c>
      <x:c r="C9" s="16" t="str">
        <x:v>stare odprte naloge</x:v>
      </x:c>
      <x:c r="D9" s="16" t="str">
        <x:v>transakcijski sistem + time study</x:v>
      </x:c>
      <x:c r="E9" s="16" t="str">
        <x:v>mesečno</x:v>
      </x:c>
      <x:c r="F9" s="16" t="str">
        <x:v>lastnik procesa</x:v>
      </x:c>
      <x:c r="G9" s="16" t="str">
        <x:v>baseline + pilot</x:v>
      </x:c>
    </x:row>
    <x:row r="10">
      <x:c r="A10" s="17" t="str">
        <x:v>B06</x:v>
      </x:c>
      <x:c r="B10" s="17" t="str">
        <x:v>Ročno opominjanje</x:v>
      </x:c>
      <x:c r="C10" s="17" t="str">
        <x:v>ure opominjanja</x:v>
      </x:c>
      <x:c r="D10" s="17" t="str">
        <x:v>transakcijski sistem + time study</x:v>
      </x:c>
      <x:c r="E10" s="17" t="str">
        <x:v>mesečno</x:v>
      </x:c>
      <x:c r="F10" s="17" t="str">
        <x:v>lastnik procesa</x:v>
      </x:c>
      <x:c r="G10" s="17" t="str">
        <x:v>baseline + pilot</x:v>
      </x:c>
    </x:row>
    <x:row r="11">
      <x:c r="A11" s="16" t="str">
        <x:v>B07</x:v>
      </x:c>
      <x:c r="B11" s="16" t="str">
        <x:v>Popravki slabih vhodov</x:v>
      </x:c>
      <x:c r="C11" s="16" t="str">
        <x:v>izjeme/100 docs</x:v>
      </x:c>
      <x:c r="D11" s="16" t="str">
        <x:v>transakcijski sistem + time study</x:v>
      </x:c>
      <x:c r="E11" s="16" t="str">
        <x:v>mesečno</x:v>
      </x:c>
      <x:c r="F11" s="16" t="str">
        <x:v>lastnik procesa</x:v>
      </x:c>
      <x:c r="G11" s="16" t="str">
        <x:v>baseline + pilot</x:v>
      </x:c>
    </x:row>
    <x:row r="12">
      <x:c r="A12" s="17" t="str">
        <x:v>B08</x:v>
      </x:c>
      <x:c r="B12" s="17" t="str">
        <x:v>Neznana donosnost stranke</x:v>
      </x:c>
      <x:c r="C12" s="17" t="str">
        <x:v>prispevna marža</x:v>
      </x:c>
      <x:c r="D12" s="17" t="str">
        <x:v>transakcijski sistem + time study</x:v>
      </x:c>
      <x:c r="E12" s="17" t="str">
        <x:v>mesečno</x:v>
      </x:c>
      <x:c r="F12" s="17" t="str">
        <x:v>lastnik procesa</x:v>
      </x:c>
      <x:c r="G12" s="17" t="str">
        <x:v>baseline + pilot</x:v>
      </x:c>
    </x:row>
    <x:row r="13">
      <x:c r="A13" s="16" t="str">
        <x:v>B09</x:v>
      </x:c>
      <x:c r="B13" s="16" t="str">
        <x:v>Znanje v glavi posameznika</x:v>
      </x:c>
      <x:c r="C13" s="16" t="str">
        <x:v>čas nadomeščanja</x:v>
      </x:c>
      <x:c r="D13" s="16" t="str">
        <x:v>transakcijski sistem + time study</x:v>
      </x:c>
      <x:c r="E13" s="16" t="str">
        <x:v>mesečno</x:v>
      </x:c>
      <x:c r="F13" s="16" t="str">
        <x:v>lastnik procesa</x:v>
      </x:c>
      <x:c r="G13" s="16" t="str">
        <x:v>baseline + pilot</x:v>
      </x:c>
    </x:row>
    <x:row r="14">
      <x:c r="A14" s="17" t="str">
        <x:v>B10</x:v>
      </x:c>
      <x:c r="B14" s="17" t="str">
        <x:v>Ročno usklajevanje banke</x:v>
      </x:c>
      <x:c r="C14" s="17" t="str">
        <x:v>% auto-match</x:v>
      </x:c>
      <x:c r="D14" s="17" t="str">
        <x:v>transakcijski sistem + time study</x:v>
      </x:c>
      <x:c r="E14" s="17" t="str">
        <x:v>mesečno</x:v>
      </x:c>
      <x:c r="F14" s="17" t="str">
        <x:v>lastnik procesa</x:v>
      </x:c>
      <x:c r="G14" s="17" t="str">
        <x:v>baseline + pilot</x:v>
      </x:c>
    </x:row>
    <x:row r="15">
      <x:c r="A15" s="16" t="str">
        <x:v>B11</x:v>
      </x:c>
      <x:c r="B15" s="16" t="str">
        <x:v>Ročni Exceli za poročanje</x:v>
      </x:c>
      <x:c r="C15" s="16" t="str">
        <x:v>čas do poročila</x:v>
      </x:c>
      <x:c r="D15" s="16" t="str">
        <x:v>transakcijski sistem + time study</x:v>
      </x:c>
      <x:c r="E15" s="16" t="str">
        <x:v>mesečno</x:v>
      </x:c>
      <x:c r="F15" s="16" t="str">
        <x:v>lastnik procesa</x:v>
      </x:c>
      <x:c r="G15" s="16" t="str">
        <x:v>baseline + pilot</x:v>
      </x:c>
    </x:row>
    <x:row r="16">
      <x:c r="A16" s="17" t="str">
        <x:v>B12</x:v>
      </x:c>
      <x:c r="B16" s="17" t="str">
        <x:v>Nejasen obseg pavšala</x:v>
      </x:c>
      <x:c r="C16" s="17" t="str">
        <x:v>dela izven obsega</x:v>
      </x:c>
      <x:c r="D16" s="17" t="str">
        <x:v>transakcijski sistem + time study</x:v>
      </x:c>
      <x:c r="E16" s="17" t="str">
        <x:v>mesečno</x:v>
      </x:c>
      <x:c r="F16" s="17" t="str">
        <x:v>lastnik procesa</x:v>
      </x:c>
      <x:c r="G16" s="17" t="str">
        <x:v>baseline + pilot</x:v>
      </x:c>
    </x:row>
    <x:row r="17">
      <x:c r="A17" s="16" t="str">
        <x:v>B13</x:v>
      </x:c>
      <x:c r="B17" s="16" t="str">
        <x:v>Počasno uvajanje zaposlenih</x:v>
      </x:c>
      <x:c r="C17" s="16" t="str">
        <x:v>dnevi do produktivnosti</x:v>
      </x:c>
      <x:c r="D17" s="16" t="str">
        <x:v>transakcijski sistem + time study</x:v>
      </x:c>
      <x:c r="E17" s="16" t="str">
        <x:v>mesečno</x:v>
      </x:c>
      <x:c r="F17" s="16" t="str">
        <x:v>lastnik procesa</x:v>
      </x:c>
      <x:c r="G17" s="16" t="str">
        <x:v>baseline + pilot</x:v>
      </x:c>
    </x:row>
    <x:row r="18">
      <x:c r="A18" s="17" t="str">
        <x:v>B14</x:v>
      </x:c>
      <x:c r="B18" s="17" t="str">
        <x:v>Težko nadomeščanje</x:v>
      </x:c>
      <x:c r="C18" s="17" t="str">
        <x:v>nepokrite naloge</x:v>
      </x:c>
      <x:c r="D18" s="17" t="str">
        <x:v>transakcijski sistem + time study</x:v>
      </x:c>
      <x:c r="E18" s="17" t="str">
        <x:v>mesečno</x:v>
      </x:c>
      <x:c r="F18" s="17" t="str">
        <x:v>lastnik procesa</x:v>
      </x:c>
      <x:c r="G18" s="17" t="str">
        <x:v>baseline + pilot</x:v>
      </x:c>
    </x:row>
    <x:row r="19">
      <x:c r="A19" s="16" t="str">
        <x:v>B15</x:v>
      </x:c>
      <x:c r="B19" s="16" t="str">
        <x:v>Zadnje spremembe pri plačah</x:v>
      </x:c>
      <x:c r="C19" s="16" t="str">
        <x:v>pozni vhodi</x:v>
      </x:c>
      <x:c r="D19" s="16" t="str">
        <x:v>transakcijski sistem + time study</x:v>
      </x:c>
      <x:c r="E19" s="16" t="str">
        <x:v>mesečno</x:v>
      </x:c>
      <x:c r="F19" s="16" t="str">
        <x:v>lastnik procesa</x:v>
      </x:c>
      <x:c r="G19" s="16" t="str">
        <x:v>baseline + pilot</x:v>
      </x:c>
    </x:row>
    <x:row r="20">
      <x:c r="A20" s="17" t="str">
        <x:v>B16</x:v>
      </x:c>
      <x:c r="B20" s="17" t="str">
        <x:v>Podvojeni dokumenti</x:v>
      </x:c>
      <x:c r="C20" s="17" t="str">
        <x:v>duplikati/1000</x:v>
      </x:c>
      <x:c r="D20" s="17" t="str">
        <x:v>transakcijski sistem + time study</x:v>
      </x:c>
      <x:c r="E20" s="17" t="str">
        <x:v>mesečno</x:v>
      </x:c>
      <x:c r="F20" s="17" t="str">
        <x:v>lastnik procesa</x:v>
      </x:c>
      <x:c r="G20" s="17" t="str">
        <x:v>baseline + pilot</x:v>
      </x:c>
    </x:row>
    <x:row r="21">
      <x:c r="A21" s="16" t="str">
        <x:v>B17</x:v>
      </x:c>
      <x:c r="B21" s="16" t="str">
        <x:v>Razpršena komunikacija</x:v>
      </x:c>
      <x:c r="C21" s="16" t="str">
        <x:v>čas odziva</x:v>
      </x:c>
      <x:c r="D21" s="16" t="str">
        <x:v>transakcijski sistem + time study</x:v>
      </x:c>
      <x:c r="E21" s="16" t="str">
        <x:v>mesečno</x:v>
      </x:c>
      <x:c r="F21" s="16" t="str">
        <x:v>lastnik procesa</x:v>
      </x:c>
      <x:c r="G21" s="16" t="str">
        <x:v>baseline + pilot</x:v>
      </x:c>
    </x:row>
    <x:row r="22">
      <x:c r="A22" s="17" t="str">
        <x:v>B18</x:v>
      </x:c>
      <x:c r="B22" s="17" t="str">
        <x:v>Slaba migracija začetnih stanj</x:v>
      </x:c>
      <x:c r="C22" s="17" t="str">
        <x:v>uskladitvene razlike</x:v>
      </x:c>
      <x:c r="D22" s="17" t="str">
        <x:v>transakcijski sistem + time study</x:v>
      </x:c>
      <x:c r="E22" s="17" t="str">
        <x:v>mesečno</x:v>
      </x:c>
      <x:c r="F22" s="17" t="str">
        <x:v>lastnik procesa</x:v>
      </x:c>
      <x:c r="G22" s="17" t="str">
        <x:v>baseline + pilot</x:v>
      </x:c>
    </x:row>
    <x:row r="23">
      <x:c r="A23" s="16" t="str">
        <x:v>B19</x:v>
      </x:c>
      <x:c r="B23" s="16" t="str">
        <x:v>Premalo časa za svetovanje</x:v>
      </x:c>
      <x:c r="C23" s="16" t="str">
        <x:v>svetovalne ure</x:v>
      </x:c>
      <x:c r="D23" s="16" t="str">
        <x:v>transakcijski sistem + time study</x:v>
      </x:c>
      <x:c r="E23" s="16" t="str">
        <x:v>mesečno</x:v>
      </x:c>
      <x:c r="F23" s="16" t="str">
        <x:v>lastnik procesa</x:v>
      </x:c>
      <x:c r="G23" s="16" t="str">
        <x:v>baseline + pilot</x:v>
      </x:c>
    </x:row>
    <x:row r="24">
      <x:c r="A24" s="17" t="str">
        <x:v>B20</x:v>
      </x:c>
      <x:c r="B24" s="17" t="str">
        <x:v>Nejasna kontrolna odgovornost</x:v>
      </x:c>
      <x:c r="C24" s="17" t="str">
        <x:v>kontrole brez lastnika</x:v>
      </x:c>
      <x:c r="D24" s="17" t="str">
        <x:v>transakcijski sistem + time study</x:v>
      </x:c>
      <x:c r="E24" s="17" t="str">
        <x:v>mesečno</x:v>
      </x:c>
      <x:c r="F24" s="17" t="str">
        <x:v>lastnik procesa</x:v>
      </x:c>
      <x:c r="G24" s="17" t="str">
        <x:v>baseline + pilot</x:v>
      </x:c>
    </x:row>
    <x:row r="25">
      <x:c r="A25" s="16" t="str">
        <x:v>B21</x:v>
      </x:c>
      <x:c r="B25" s="16" t="str">
        <x:v>Nepovezani programi strank</x:v>
      </x:c>
      <x:c r="C25" s="16" t="str">
        <x:v>ročni prenosi/mesec</x:v>
      </x:c>
      <x:c r="D25" s="16" t="str">
        <x:v>transakcijski sistem + time study</x:v>
      </x:c>
      <x:c r="E25" s="16" t="str">
        <x:v>mesečno</x:v>
      </x:c>
      <x:c r="F25" s="16" t="str">
        <x:v>lastnik procesa</x:v>
      </x:c>
      <x:c r="G25" s="16" t="str">
        <x:v>baseline + pilot</x:v>
      </x:c>
    </x:row>
    <x:row r="26">
      <x:c r="A26" s="17" t="str">
        <x:v>B22</x:v>
      </x:c>
      <x:c r="B26" s="17" t="str">
        <x:v>Nepredvidljiv TCO</x:v>
      </x:c>
      <x:c r="C26" s="17" t="str">
        <x:v>odstopanje TCO</x:v>
      </x:c>
      <x:c r="D26" s="17" t="str">
        <x:v>transakcijski sistem + time study</x:v>
      </x:c>
      <x:c r="E26" s="17" t="str">
        <x:v>mesečno</x:v>
      </x:c>
      <x:c r="F26" s="17" t="str">
        <x:v>lastnik procesa</x:v>
      </x:c>
      <x:c r="G26" s="17" t="str">
        <x:v>baseline + pilot</x:v>
      </x:c>
    </x:row>
    <x:row r="27">
      <x:c r="A27" s="16" t="str">
        <x:v>B23</x:v>
      </x:c>
      <x:c r="B27" s="16" t="str">
        <x:v>Različna zrelost strank</x:v>
      </x:c>
      <x:c r="C27" s="16" t="str">
        <x:v>sprejetje po stranki</x:v>
      </x:c>
      <x:c r="D27" s="16" t="str">
        <x:v>transakcijski sistem + time study</x:v>
      </x:c>
      <x:c r="E27" s="16" t="str">
        <x:v>mesečno</x:v>
      </x:c>
      <x:c r="F27" s="16" t="str">
        <x:v>lastnik procesa</x:v>
      </x:c>
      <x:c r="G27" s="16" t="str">
        <x:v>baseline + pilot</x:v>
      </x:c>
    </x:row>
    <x:row r="28">
      <x:c r="A28" s="17" t="str">
        <x:v>B24</x:v>
      </x:c>
      <x:c r="B28" s="17" t="str">
        <x:v>Pooblastila in dostopi</x:v>
      </x:c>
      <x:c r="C28" s="17" t="str">
        <x:v>neaktivni dostopi</x:v>
      </x:c>
      <x:c r="D28" s="17" t="str">
        <x:v>transakcijski sistem + time study</x:v>
      </x:c>
      <x:c r="E28" s="17" t="str">
        <x:v>mesečno</x:v>
      </x:c>
      <x:c r="F28" s="17" t="str">
        <x:v>lastnik procesa</x:v>
      </x:c>
      <x:c r="G28" s="17" t="str">
        <x:v>baseline + pilot</x:v>
      </x:c>
    </x:row>
    <x:row r="29">
      <x:c r="A29" s="16" t="str">
        <x:v>B25</x:v>
      </x:c>
      <x:c r="B29" s="16" t="str">
        <x:v>AML/GDPR/revizijska sled</x:v>
      </x:c>
      <x:c r="C29" s="16" t="str">
        <x:v>nepopolne kontrole</x:v>
      </x:c>
      <x:c r="D29" s="16" t="str">
        <x:v>transakcijski sistem + time study</x:v>
      </x:c>
      <x:c r="E29" s="16" t="str">
        <x:v>mesečno</x:v>
      </x:c>
      <x:c r="F29" s="16" t="str">
        <x:v>lastnik procesa</x:v>
      </x:c>
      <x:c r="G29" s="16" t="str">
        <x:v>baseline + pilot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30" hidden="0" customWidth="1"/>
    <x:col min="6" max="6" width="30" hidden="0" customWidth="1"/>
  </x:cols>
  <x:sheetData>
    <x:row r="1" ht="30" customHeight="1">
      <x:c r="A1" s="2" t="str">
        <x:v>ICP scoring za kvalifikacijo pilota</x:v>
      </x:c>
    </x:row>
    <x:row r="2" ht="32" customHeight="1">
      <x:c r="A2" s="35" t="str">
        <x:v>Vnesite oceno 1-5 v modre celice. Prag za pilot: 70/100 in brez kritične rdeče zastave.</x:v>
      </x:c>
    </x:row>
    <x:row r="4">
      <x:c r="A4" s="9" t="str">
        <x:v>Dimenzija</x:v>
      </x:c>
      <x:c r="B4" s="9" t="str">
        <x:v>Utež</x:v>
      </x:c>
      <x:c r="C4" s="9" t="str">
        <x:v>Ocena 1-5</x:v>
      </x:c>
      <x:c r="D4" s="9" t="str">
        <x:v>Utežena ocena</x:v>
      </x:c>
      <x:c r="E4" s="9" t="str">
        <x:v>Dokaz</x:v>
      </x:c>
      <x:c r="F4" s="9" t="str">
        <x:v>Opomba</x:v>
      </x:c>
    </x:row>
    <x:row r="5">
      <x:c r="A5" s="36" t="str">
        <x:v>Procesna bolečina</x:v>
      </x:c>
      <x:c r="B5" s="53" t="n">
        <x:v>0.2</x:v>
      </x:c>
      <x:c r="C5" s="52" t="n">
        <x:v>3</x:v>
      </x:c>
      <x:c r="D5" s="46" t="n">
        <x:f>B5*C5/5*100</x:f>
        <x:v>12.000000000000002</x:v>
      </x:c>
      <x:c r="E5" s="36" t="str">
        <x:v>merjene zamude/popravki</x:v>
      </x:c>
      <x:c r="F5" s="36" t="str"/>
    </x:row>
    <x:row r="6">
      <x:c r="A6" s="36" t="str">
        <x:v>Obseg in ponavljanje</x:v>
      </x:c>
      <x:c r="B6" s="53" t="n">
        <x:v>0.15</x:v>
      </x:c>
      <x:c r="C6" s="52" t="n">
        <x:v>3</x:v>
      </x:c>
      <x:c r="D6" s="46" t="n">
        <x:f>B6*C6/5*100</x:f>
        <x:v>9</x:v>
      </x:c>
      <x:c r="E6" s="36" t="str">
        <x:v>dokumenti/stranke</x:v>
      </x:c>
      <x:c r="F6" s="36" t="str"/>
    </x:row>
    <x:row r="7">
      <x:c r="A7" s="36" t="str">
        <x:v>Vodstveni sponzor</x:v>
      </x:c>
      <x:c r="B7" s="53" t="n">
        <x:v>0.15</x:v>
      </x:c>
      <x:c r="C7" s="52" t="n">
        <x:v>3</x:v>
      </x:c>
      <x:c r="D7" s="46" t="n">
        <x:f>B7*C7/5*100</x:f>
        <x:v>9</x:v>
      </x:c>
      <x:c r="E7" s="36" t="str">
        <x:v>ime + alokacija</x:v>
      </x:c>
      <x:c r="F7" s="36" t="str"/>
    </x:row>
    <x:row r="8">
      <x:c r="A8" s="36" t="str">
        <x:v>Spremembna pripravljenost</x:v>
      </x:c>
      <x:c r="B8" s="53" t="n">
        <x:v>0.15</x:v>
      </x:c>
      <x:c r="C8" s="52" t="n">
        <x:v>3</x:v>
      </x:c>
      <x:c r="D8" s="46" t="n">
        <x:f>B8*C8/5*100</x:f>
        <x:v>9</x:v>
      </x:c>
      <x:c r="E8" s="36" t="str">
        <x:v>pravila/kanal</x:v>
      </x:c>
      <x:c r="F8" s="36" t="str"/>
    </x:row>
    <x:row r="9">
      <x:c r="A9" s="36" t="str">
        <x:v>Podatkovna izvedljivost</x:v>
      </x:c>
      <x:c r="B9" s="53" t="n">
        <x:v>0.1</x:v>
      </x:c>
      <x:c r="C9" s="52" t="n">
        <x:v>3</x:v>
      </x:c>
      <x:c r="D9" s="46" t="n">
        <x:f>B9*C9/5*100</x:f>
        <x:v>6.000000000000001</x:v>
      </x:c>
      <x:c r="E9" s="36" t="str">
        <x:v>izvozi/sistemi</x:v>
      </x:c>
      <x:c r="F9" s="36" t="str"/>
    </x:row>
    <x:row r="10">
      <x:c r="A10" s="36" t="str">
        <x:v>Ekonomika</x:v>
      </x:c>
      <x:c r="B10" s="53" t="n">
        <x:v>0.1</x:v>
      </x:c>
      <x:c r="C10" s="52" t="n">
        <x:v>3</x:v>
      </x:c>
      <x:c r="D10" s="46" t="n">
        <x:f>B10*C10/5*100</x:f>
        <x:v>6.000000000000001</x:v>
      </x:c>
      <x:c r="E10" s="36" t="str">
        <x:v>TCO + prispevek</x:v>
      </x:c>
      <x:c r="F10" s="36" t="str"/>
    </x:row>
    <x:row r="11">
      <x:c r="A11" s="36" t="str">
        <x:v>Časovni sprožilec</x:v>
      </x:c>
      <x:c r="B11" s="53" t="n">
        <x:v>0.1</x:v>
      </x:c>
      <x:c r="C11" s="52" t="n">
        <x:v>3</x:v>
      </x:c>
      <x:c r="D11" s="46" t="n">
        <x:f>B11*C11/5*100</x:f>
        <x:v>6.000000000000001</x:v>
      </x:c>
      <x:c r="E11" s="36" t="str">
        <x:v>rok/rast/menjava</x:v>
      </x:c>
      <x:c r="F11" s="36" t="str"/>
    </x:row>
    <x:row r="12">
      <x:c r="A12" s="36" t="str">
        <x:v>Referenčna vrednost</x:v>
      </x:c>
      <x:c r="B12" s="53" t="n">
        <x:v>0.05</x:v>
      </x:c>
      <x:c r="C12" s="52" t="n">
        <x:v>3</x:v>
      </x:c>
      <x:c r="D12" s="46" t="n">
        <x:f>B12*C12/5*100</x:f>
        <x:v>3.0000000000000004</x:v>
      </x:c>
      <x:c r="E12" s="36" t="str">
        <x:v>ponovljiv segment</x:v>
      </x:c>
      <x:c r="F12" s="36" t="str"/>
    </x:row>
    <x:row r="13">
      <x:c r="A13" s="36"/>
      <x:c r="B13" s="36"/>
      <x:c r="C13" s="36"/>
      <x:c r="D13" s="46"/>
      <x:c r="E13" s="36"/>
      <x:c r="F13" s="36"/>
    </x:row>
    <x:row r="14">
      <x:c r="A14" s="36" t="str">
        <x:v>Skupna ocena / 100</x:v>
      </x:c>
      <x:c r="B14" s="36"/>
      <x:c r="C14" s="36"/>
      <x:c r="D14" s="46" t="n">
        <x:f>SUM(D5:D12)</x:f>
        <x:v>60</x:v>
      </x:c>
      <x:c r="E14" s="36"/>
      <x:c r="F14" s="36"/>
    </x:row>
    <x:row r="15">
      <x:c r="A15" s="36" t="str">
        <x:v>Odločitev</x:v>
      </x:c>
      <x:c r="B15" s="36"/>
      <x:c r="C15" s="36"/>
      <x:c r="D15" s="42" t="str">
        <x:f>IF(D14&gt;=70,"Kandidat za pilot","Dodatna kvalifikacija")</x:f>
        <x:v>Dodatna kvalifikacija</x:v>
      </x:c>
      <x:c r="E15" s="36"/>
      <x:c r="F15" s="36"/>
    </x:row>
  </x:sheetData>
  <x:mergeCells>
    <x:mergeCell ref="A1:F1"/>
    <x:mergeCell ref="A2:F2"/>
    <x:mergeCell ref="A14:C14"/>
    <x:mergeCell ref="A15:C15"/>
  </x:mergeCells>
  <x:pageMargins left="0.7" right="0.7" top="0.75" bottom="0.75" header="0.3" footer="0.3"/>
</x:worksheet>
</file>