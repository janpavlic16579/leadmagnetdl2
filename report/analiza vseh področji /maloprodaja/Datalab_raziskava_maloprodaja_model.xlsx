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5101ec177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slovnica" sheetId="1" r:id="R8d481e9d94cd48b8"/>
    <x:sheet xmlns:r="http://schemas.openxmlformats.org/officeDocument/2006/relationships" name="Predpostavke" sheetId="2" r:id="R265fc892fdd84046"/>
    <x:sheet xmlns:r="http://schemas.openxmlformats.org/officeDocument/2006/relationships" name="ROI_Model" sheetId="3" r:id="R1cc51e59762844e9"/>
    <x:sheet xmlns:r="http://schemas.openxmlformats.org/officeDocument/2006/relationships" name="Kontrole" sheetId="4" r:id="R6e8459704fbb4111"/>
    <x:sheet xmlns:r="http://schemas.openxmlformats.org/officeDocument/2006/relationships" name="Trzni_benchmarki" sheetId="5" r:id="R4a3ae10c27bb43b0"/>
    <x:sheet xmlns:r="http://schemas.openxmlformats.org/officeDocument/2006/relationships" name="Segmenti" sheetId="6" r:id="Rbc210b6f49eb4c19"/>
    <x:sheet xmlns:r="http://schemas.openxmlformats.org/officeDocument/2006/relationships" name="Arhetipi" sheetId="7" r:id="R64191da67b2547c2"/>
    <x:sheet xmlns:r="http://schemas.openxmlformats.org/officeDocument/2006/relationships" name="Procesi" sheetId="8" r:id="R888887a431554d26"/>
    <x:sheet xmlns:r="http://schemas.openxmlformats.org/officeDocument/2006/relationships" name="Podprocesi" sheetId="9" r:id="R0b7b50b152584a35"/>
    <x:sheet xmlns:r="http://schemas.openxmlformats.org/officeDocument/2006/relationships" name="Katalog_bolecin" sheetId="10" r:id="Rc7f0156a2d974ee9"/>
    <x:sheet xmlns:r="http://schemas.openxmlformats.org/officeDocument/2006/relationships" name="KPI_slovar" sheetId="11" r:id="R1494578277044ac1"/>
    <x:sheet xmlns:r="http://schemas.openxmlformats.org/officeDocument/2006/relationships" name="Financne_formule" sheetId="12" r:id="R46a66be852a24201"/>
    <x:sheet xmlns:r="http://schemas.openxmlformats.org/officeDocument/2006/relationships" name="Bolecina_resitev" sheetId="13" r:id="R4af35fd4fab34e5a"/>
    <x:sheet xmlns:r="http://schemas.openxmlformats.org/officeDocument/2006/relationships" name="PANTHEON_zemljevid" sheetId="14" r:id="R791c4c4d58674b10"/>
    <x:sheet xmlns:r="http://schemas.openxmlformats.org/officeDocument/2006/relationships" name="Predpogoji_funkcij" sheetId="15" r:id="R3c936dcfeded4912"/>
    <x:sheet xmlns:r="http://schemas.openxmlformats.org/officeDocument/2006/relationships" name="Vprasalnik" sheetId="16" r:id="Rcccba1a6aa824c9d"/>
    <x:sheet xmlns:r="http://schemas.openxmlformats.org/officeDocument/2006/relationships" name="Regulatorni_koledar" sheetId="17" r:id="R00d12fe9797a489c"/>
    <x:sheet xmlns:r="http://schemas.openxmlformats.org/officeDocument/2006/relationships" name="Integracije" sheetId="18" r:id="R5ad673ff8d044c9b"/>
    <x:sheet xmlns:r="http://schemas.openxmlformats.org/officeDocument/2006/relationships" name="Register_virov" sheetId="19" r:id="Rc505fcfbf6d34e44"/>
    <x:sheet xmlns:r="http://schemas.openxmlformats.org/officeDocument/2006/relationships" name="Raziskovalne_vrzeli" sheetId="20" r:id="R7561f4f467e34208"/>
    <x:sheet xmlns:r="http://schemas.openxmlformats.org/officeDocument/2006/relationships" name="Hipoteze" sheetId="21" r:id="R1886e62d271f4014"/>
    <x:sheet xmlns:r="http://schemas.openxmlformats.org/officeDocument/2006/relationships" name="Segment_bolecina" sheetId="22" r:id="R36a0d3e58c8e4433"/>
    <x:sheet xmlns:r="http://schemas.openxmlformats.org/officeDocument/2006/relationships" name="Persona_bolecina" sheetId="23" r:id="Rb925c09fc2f44148"/>
    <x:sheet xmlns:r="http://schemas.openxmlformats.org/officeDocument/2006/relationships" name="Proces_KPI" sheetId="24" r:id="R3e4b174b502c4e7e"/>
    <x:sheet xmlns:r="http://schemas.openxmlformats.org/officeDocument/2006/relationships" name="Bolecina_finance" sheetId="25" r:id="R7aafefec2ad94b9c"/>
    <x:sheet xmlns:r="http://schemas.openxmlformats.org/officeDocument/2006/relationships" name="Problem_podatki" sheetId="26" r:id="R784ec35948494022"/>
    <x:sheet xmlns:r="http://schemas.openxmlformats.org/officeDocument/2006/relationships" name="ICP_scoring" sheetId="27" r:id="R04073f1e7bb7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 [$€-x-euro2];[Red](#,##0 [$€-x-euro2]);-"/>
    <x:numFmt numFmtId="201" formatCode="0.0%"/>
    <x:numFmt numFmtId="202" formatCode="#,##0"/>
    <x:numFmt numFmtId="203" formatCode="0.0%;[Red](0.0%);-"/>
    <x:numFmt numFmtId="204" formatCode="0.0"/>
    <x:numFmt numFmtId="205" formatCode="0%"/>
    <x:numFmt numFmtId="206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i/>
      <x:sz val="11"/>
      <x:color rgb="FF17324D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rgb="FFC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07C83"/>
      </x:patternFill>
    </x:fill>
    <x:fill>
      <x:patternFill patternType="solid">
        <x:fgColor rgb="FFEEF5F7"/>
      </x:patternFill>
    </x:fill>
    <x:fill>
      <x:patternFill patternType="solid">
        <x:fgColor rgb="FFFFF1CC"/>
      </x:patternFill>
    </x:fill>
    <x:fill>
      <x:patternFill patternType="solid">
        <x:fgColor rgb="FFEAF3FF"/>
      </x:patternFill>
    </x:fill>
  </x:fills>
  <x:borders count="29">
    <x:border/>
    <x:border>
      <x:left style="thin">
        <x:color rgb="FFCCD6DF"/>
      </x:left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thin">
        <x:color rgb="FFCCD6DF"/>
      </x:left>
      <x:top style="thin">
        <x:color rgb="FFCCD6DF"/>
      </x:top>
      <x:bottom style="thin">
        <x:color rgb="FFCCD6DF"/>
      </x:bottom>
    </x:border>
    <x:border>
      <x:top style="thin">
        <x:color rgb="FFCCD6DF"/>
      </x:top>
      <x:bottom style="thin">
        <x:color rgb="FFCCD6DF"/>
      </x:bottom>
    </x:border>
    <x:border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right style="thin">
        <x:color rgb="FFE7EDF1"/>
      </x:right>
      <x:bottom style="thin">
        <x:color rgb="FFE7EDF1"/>
      </x:bottom>
    </x:border>
    <x:border>
      <x:left style="thin">
        <x:color rgb="FFE7EDF1"/>
      </x:left>
      <x:right style="thin">
        <x:color rgb="FFE7EDF1"/>
      </x:right>
      <x:bottom style="thin">
        <x:color rgb="FFE7EDF1"/>
      </x:bottom>
    </x:border>
    <x:border>
      <x:left style="thin">
        <x:color rgb="FFE7EDF1"/>
      </x:left>
      <x:bottom style="thin">
        <x:color rgb="FFE7EDF1"/>
      </x:bottom>
    </x:border>
    <x:border>
      <x:right style="thin">
        <x:color rgb="FFE7EDF1"/>
      </x:right>
      <x:top style="thin">
        <x:color rgb="FFE7EDF1"/>
      </x:top>
      <x:bottom style="thin">
        <x:color rgb="FFE7EDF1"/>
      </x:bottom>
    </x:border>
    <x:border>
      <x:left style="thin">
        <x:color rgb="FFE7EDF1"/>
      </x:left>
      <x:right style="thin">
        <x:color rgb="FFE7EDF1"/>
      </x:right>
      <x:top style="thin">
        <x:color rgb="FFE7EDF1"/>
      </x:top>
      <x:bottom style="thin">
        <x:color rgb="FFE7EDF1"/>
      </x:bottom>
    </x:border>
    <x:border>
      <x:left style="thin">
        <x:color rgb="FFE7EDF1"/>
      </x:left>
      <x:top style="thin">
        <x:color rgb="FFE7EDF1"/>
      </x:top>
      <x:bottom style="thin">
        <x:color rgb="FFE7EDF1"/>
      </x:bottom>
    </x:border>
    <x:border>
      <x:right style="thin">
        <x:color rgb="FFE7EDF1"/>
      </x:right>
      <x:top style="thin">
        <x:color rgb="FFE7EDF1"/>
      </x:top>
    </x:border>
    <x:border>
      <x:left style="thin">
        <x:color rgb="FFE7EDF1"/>
      </x:left>
      <x:right style="thin">
        <x:color rgb="FFE7EDF1"/>
      </x:right>
      <x:top style="thin">
        <x:color rgb="FFE7EDF1"/>
      </x:top>
    </x:border>
    <x:border>
      <x:left style="thin">
        <x:color rgb="FFE7EDF1"/>
      </x:left>
      <x:top style="thin">
        <x:color rgb="FFE7EDF1"/>
      </x:top>
    </x:border>
    <x:border>
      <x:right style="thin">
        <x:color rgb="FFE7EDF1"/>
      </x:right>
      <x:top style="medium">
        <x:color rgb="FF007C83"/>
      </x:top>
      <x:bottom style="thin">
        <x:color rgb="FFCCD6DF"/>
      </x:bottom>
    </x:border>
    <x:border>
      <x:left style="thin">
        <x:color rgb="FFE7EDF1"/>
      </x:left>
      <x:right style="thin">
        <x:color rgb="FFE7EDF1"/>
      </x:right>
      <x:top style="medium">
        <x:color rgb="FF007C83"/>
      </x:top>
      <x:bottom style="thin">
        <x:color rgb="FFCCD6DF"/>
      </x:bottom>
    </x:border>
    <x:border>
      <x:right style="thin">
        <x:color rgb="FFE7EDF1"/>
      </x:right>
      <x:top style="medium">
        <x:color rgb="FF007C83"/>
      </x:top>
      <x:bottom style="thin">
        <x:color rgb="FFE7EDF1"/>
      </x:bottom>
    </x:border>
    <x:border>
      <x:left style="thin">
        <x:color rgb="FFE7EDF1"/>
      </x:left>
      <x:right style="thin">
        <x:color rgb="FFE7EDF1"/>
      </x:right>
      <x:top style="medium">
        <x:color rgb="FF007C83"/>
      </x:top>
      <x:bottom style="thin">
        <x:color rgb="FFE7EDF1"/>
      </x:bottom>
    </x:border>
    <x:border>
      <x:left style="medium">
        <x:color rgb="FF007C83"/>
      </x:left>
      <x:top style="medium">
        <x:color rgb="FF007C83"/>
      </x:top>
      <x:bottom style="medium">
        <x:color rgb="FF007C83"/>
      </x:bottom>
    </x:border>
    <x:border>
      <x:top style="medium">
        <x:color rgb="FF007C83"/>
      </x:top>
      <x:bottom style="medium">
        <x:color rgb="FF007C83"/>
      </x:bottom>
    </x:border>
    <x:border>
      <x:right style="medium">
        <x:color rgb="FF007C83"/>
      </x:right>
      <x:top style="medium">
        <x:color rgb="FF007C83"/>
      </x:top>
      <x:bottom style="medium">
        <x:color rgb="FF007C83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  <x:xf numFmtId="0" fontId="3" fillId="0" borderId="21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3" fillId="0" borderId="20" xfId="0" applyNumberFormat="1" applyFont="1" applyFill="1" applyBorder="1" applyAlignment="1">
      <x:alignment vertical="top" wrapText="1"/>
    </x:xf>
    <x:xf numFmtId="0" fontId="3" fillId="0" borderId="21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17" xfId="0" applyNumberFormat="1" applyFont="1" applyFill="1" applyBorder="1" applyAlignment="1">
      <x:alignment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200" fontId="6" fillId="0" borderId="17" xfId="0" applyNumberFormat="1" applyFont="1" applyFill="1" applyBorder="1" applyAlignment="1">
      <x:alignment vertical="top" wrapText="1"/>
    </x:xf>
    <x:xf numFmtId="200" fontId="6" fillId="0" borderId="20" xfId="0" applyNumberFormat="1" applyFont="1" applyFill="1" applyBorder="1" applyAlignment="1">
      <x:alignment vertical="top" wrapText="1"/>
    </x:xf>
    <x:xf numFmtId="200" fontId="6" fillId="6" borderId="14" xfId="0" applyNumberFormat="1" applyFont="1" applyFill="1" applyBorder="1" applyAlignment="1">
      <x:alignment vertical="top" wrapText="1"/>
    </x:xf>
    <x:xf numFmtId="200" fontId="6" fillId="6" borderId="17" xfId="0" applyNumberFormat="1" applyFont="1" applyFill="1" applyBorder="1" applyAlignment="1">
      <x:alignment vertical="top" wrapText="1"/>
    </x:xf>
    <x:xf numFmtId="200" fontId="6" fillId="6" borderId="20" xfId="0" applyNumberFormat="1" applyFont="1" applyFill="1" applyBorder="1" applyAlignment="1">
      <x:alignment vertical="top" wrapText="1"/>
    </x:xf>
    <x:xf numFmtId="201" fontId="6" fillId="6" borderId="17" xfId="0" applyNumberFormat="1" applyFont="1" applyFill="1" applyBorder="1" applyAlignment="1">
      <x:alignment vertical="top" wrapText="1"/>
    </x:xf>
    <x:xf numFmtId="201" fontId="6" fillId="6" borderId="20" xfId="0" applyNumberFormat="1" applyFont="1" applyFill="1" applyBorder="1" applyAlignment="1">
      <x:alignment vertical="top" wrapText="1"/>
    </x:xf>
    <x:xf numFmtId="202" fontId="6" fillId="6" borderId="1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3" fillId="4" borderId="16" xfId="0" applyNumberFormat="1" applyFont="1" applyFill="1" applyBorder="1" applyAlignment="1">
      <x:alignment vertical="top" wrapText="1"/>
    </x:xf>
    <x:xf numFmtId="0" fontId="3" fillId="4" borderId="17" xfId="0" applyNumberFormat="1" applyFont="1" applyFill="1" applyBorder="1" applyAlignment="1">
      <x:alignment vertical="top" wrapText="1"/>
    </x:xf>
    <x:xf numFmtId="0" fontId="3" fillId="4" borderId="18" xfId="0" applyNumberFormat="1" applyFont="1" applyFill="1" applyBorder="1" applyAlignment="1">
      <x:alignment vertical="top" wrapText="1"/>
    </x:xf>
    <x:xf numFmtId="0" fontId="4" fillId="4" borderId="16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4" fillId="4" borderId="18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3" fillId="5" borderId="16" xfId="0" applyNumberFormat="1" applyFont="1" applyFill="1" applyBorder="1" applyAlignment="1">
      <x:alignment vertical="top" wrapText="1"/>
    </x:xf>
    <x:xf numFmtId="0" fontId="3" fillId="5" borderId="17" xfId="0" applyNumberFormat="1" applyFont="1" applyFill="1" applyBorder="1" applyAlignment="1">
      <x:alignment vertical="top" wrapText="1"/>
    </x:xf>
    <x:xf numFmtId="0" fontId="3" fillId="5" borderId="18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0" fontId="4" fillId="4" borderId="25" xfId="0" applyNumberFormat="1" applyFont="1" applyFill="1" applyBorder="1" applyAlignment="1">
      <x:alignment vertical="top" wrapText="1"/>
    </x:xf>
    <x:xf numFmtId="200" fontId="3" fillId="0" borderId="15" xfId="0" applyNumberFormat="1" applyFont="1" applyFill="1" applyBorder="1" applyAlignment="1">
      <x:alignment vertical="top" wrapText="1"/>
    </x:xf>
    <x:xf numFmtId="200" fontId="3" fillId="0" borderId="18" xfId="0" applyNumberFormat="1" applyFont="1" applyFill="1" applyBorder="1" applyAlignment="1">
      <x:alignment vertical="top" wrapText="1"/>
    </x:xf>
    <x:xf numFmtId="200" fontId="4" fillId="4" borderId="23" xfId="0" applyNumberFormat="1" applyFont="1" applyFill="1" applyBorder="1" applyAlignment="1">
      <x:alignment vertical="top" wrapText="1"/>
    </x:xf>
    <x:xf numFmtId="200" fontId="4" fillId="5" borderId="17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4" borderId="25" xfId="0" applyNumberFormat="1" applyFont="1" applyFill="1" applyBorder="1" applyAlignment="1">
      <x:alignment vertical="top" wrapText="1"/>
    </x:xf>
    <x:xf numFmtId="200" fontId="4" fillId="4" borderId="17" xfId="0" applyNumberFormat="1" applyFont="1" applyFill="1" applyBorder="1" applyAlignment="1">
      <x:alignment vertical="top" wrapText="1"/>
    </x:xf>
    <x:xf numFmtId="203" fontId="4" fillId="4" borderId="17" xfId="0" applyNumberFormat="1" applyFont="1" applyFill="1" applyBorder="1" applyAlignment="1">
      <x:alignment vertical="top" wrapText="1"/>
    </x:xf>
    <x:xf numFmtId="204" fontId="3" fillId="0" borderId="17" xfId="0" applyNumberFormat="1" applyFont="1" applyFill="1" applyBorder="1" applyAlignment="1">
      <x:alignment vertical="top" wrapText="1"/>
    </x:xf>
    <x:xf numFmtId="204" fontId="3" fillId="0" borderId="18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201" fontId="3" fillId="0" borderId="17" xfId="0" applyNumberFormat="1" applyFont="1" applyFill="1" applyBorder="1" applyAlignment="1">
      <x:alignment vertical="top" wrapText="1"/>
    </x:xf>
    <x:xf numFmtId="201" fontId="3" fillId="0" borderId="20" xfId="0" applyNumberFormat="1" applyFont="1" applyFill="1" applyBorder="1" applyAlignment="1">
      <x:alignment vertical="top" wrapText="1"/>
    </x:xf>
    <x:xf numFmtId="205" fontId="3" fillId="0" borderId="14" xfId="0" applyNumberFormat="1" applyFont="1" applyFill="1" applyBorder="1" applyAlignment="1">
      <x:alignment vertical="top" wrapText="1"/>
    </x:xf>
    <x:xf numFmtId="205" fontId="3" fillId="0" borderId="17" xfId="0" applyNumberFormat="1" applyFont="1" applyFill="1" applyBorder="1" applyAlignment="1">
      <x:alignment vertical="top" wrapText="1"/>
    </x:xf>
    <x:xf numFmtId="205" fontId="3" fillId="0" borderId="20" xfId="0" applyNumberFormat="1" applyFont="1" applyFill="1" applyBorder="1" applyAlignment="1">
      <x:alignment vertical="top" wrapText="1"/>
    </x:xf>
    <x:xf numFmtId="0" fontId="3" fillId="6" borderId="14" xfId="0" applyNumberFormat="1" applyFont="1" applyFill="1" applyBorder="1" applyAlignment="1">
      <x:alignment vertical="top" wrapText="1"/>
    </x:xf>
    <x:xf numFmtId="0" fontId="3" fillId="6" borderId="17" xfId="0" applyNumberFormat="1" applyFont="1" applyFill="1" applyBorder="1" applyAlignment="1">
      <x:alignment vertical="top" wrapText="1"/>
    </x:xf>
    <x:xf numFmtId="0" fontId="3" fillId="6" borderId="20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horizontal="center" vertical="top" wrapText="1"/>
    </x:xf>
    <x:xf numFmtId="0" fontId="6" fillId="6" borderId="17" xfId="0" applyNumberFormat="1" applyFont="1" applyFill="1" applyBorder="1" applyAlignment="1">
      <x:alignment horizontal="center" vertical="top" wrapText="1"/>
    </x:xf>
    <x:xf numFmtId="0" fontId="6" fillId="6" borderId="20" xfId="0" applyNumberFormat="1" applyFont="1" applyFill="1" applyBorder="1" applyAlignment="1">
      <x:alignment horizontal="center" vertical="top" wrapText="1"/>
    </x:xf>
    <x:xf numFmtId="204" fontId="3" fillId="0" borderId="14" xfId="0" applyNumberFormat="1" applyFont="1" applyFill="1" applyBorder="1" applyAlignment="1">
      <x:alignment vertical="top" wrapText="1"/>
    </x:xf>
    <x:xf numFmtId="204" fontId="3" fillId="0" borderId="2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26" xfId="0" applyNumberFormat="1" applyFont="1" applyFill="1" applyBorder="1"/>
    <x:xf numFmtId="0" fontId="4" fillId="4" borderId="27" xfId="0" applyNumberFormat="1" applyFont="1" applyFill="1" applyBorder="1"/>
    <x:xf numFmtId="0" fontId="4" fillId="4" borderId="28" xfId="0" applyNumberFormat="1" applyFont="1" applyFill="1" applyBorder="1"/>
    <x:xf numFmtId="206" fontId="4" fillId="4" borderId="27" xfId="0" applyNumberFormat="1" applyFont="1" applyFill="1" applyBorder="1"/>
    <x:xf numFmtId="0" fontId="8" fillId="4" borderId="27" xfId="0" applyNumberFormat="1" applyFont="1" applyFill="1" applyBorder="1"/>
    <x:xf numFmtId="0" fontId="9" fillId="0" borderId="14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57347"/>
      </x:font>
      <x:fill>
        <x:patternFill patternType="solid">
          <x:bgColor rgb="FFE4F4EA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57347"/>
      </x:font>
      <x:fill>
        <x:patternFill patternType="solid">
          <x:bgColor rgb="FFE4F4EA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06077771549f3" /><Relationship Type="http://schemas.openxmlformats.org/officeDocument/2006/relationships/theme" Target="/xl/theme/theme1.xml" Id="Re496da5639014c7c" /><Relationship Type="http://schemas.openxmlformats.org/officeDocument/2006/relationships/sharedStrings" Target="/xl/sharedStrings.xml" Id="R7b318dd37b12424c" /><Relationship Type="http://schemas.openxmlformats.org/officeDocument/2006/relationships/worksheet" Target="/xl/worksheets/sheet1.xml" Id="R8d481e9d94cd48b8" /><Relationship Type="http://schemas.openxmlformats.org/officeDocument/2006/relationships/worksheet" Target="/xl/worksheets/sheet2.xml" Id="R265fc892fdd84046" /><Relationship Type="http://schemas.openxmlformats.org/officeDocument/2006/relationships/worksheet" Target="/xl/worksheets/sheet3.xml" Id="R1cc51e59762844e9" /><Relationship Type="http://schemas.openxmlformats.org/officeDocument/2006/relationships/worksheet" Target="/xl/worksheets/sheet4.xml" Id="R6e8459704fbb4111" /><Relationship Type="http://schemas.openxmlformats.org/officeDocument/2006/relationships/worksheet" Target="/xl/worksheets/sheet5.xml" Id="R4a3ae10c27bb43b0" /><Relationship Type="http://schemas.openxmlformats.org/officeDocument/2006/relationships/worksheet" Target="/xl/worksheets/sheet6.xml" Id="Rbc210b6f49eb4c19" /><Relationship Type="http://schemas.openxmlformats.org/officeDocument/2006/relationships/worksheet" Target="/xl/worksheets/sheet7.xml" Id="R64191da67b2547c2" /><Relationship Type="http://schemas.openxmlformats.org/officeDocument/2006/relationships/worksheet" Target="/xl/worksheets/sheet8.xml" Id="R888887a431554d26" /><Relationship Type="http://schemas.openxmlformats.org/officeDocument/2006/relationships/worksheet" Target="/xl/worksheets/sheet9.xml" Id="R0b7b50b152584a35" /><Relationship Type="http://schemas.openxmlformats.org/officeDocument/2006/relationships/worksheet" Target="/xl/worksheets/sheet10.xml" Id="Rc7f0156a2d974ee9" /><Relationship Type="http://schemas.openxmlformats.org/officeDocument/2006/relationships/worksheet" Target="/xl/worksheets/sheet11.xml" Id="R1494578277044ac1" /><Relationship Type="http://schemas.openxmlformats.org/officeDocument/2006/relationships/worksheet" Target="/xl/worksheets/sheet12.xml" Id="R46a66be852a24201" /><Relationship Type="http://schemas.openxmlformats.org/officeDocument/2006/relationships/worksheet" Target="/xl/worksheets/sheet13.xml" Id="R4af35fd4fab34e5a" /><Relationship Type="http://schemas.openxmlformats.org/officeDocument/2006/relationships/worksheet" Target="/xl/worksheets/sheet14.xml" Id="R791c4c4d58674b10" /><Relationship Type="http://schemas.openxmlformats.org/officeDocument/2006/relationships/worksheet" Target="/xl/worksheets/sheet15.xml" Id="R3c936dcfeded4912" /><Relationship Type="http://schemas.openxmlformats.org/officeDocument/2006/relationships/worksheet" Target="/xl/worksheets/sheet16.xml" Id="Rcccba1a6aa824c9d" /><Relationship Type="http://schemas.openxmlformats.org/officeDocument/2006/relationships/worksheet" Target="/xl/worksheets/sheet17.xml" Id="R00d12fe9797a489c" /><Relationship Type="http://schemas.openxmlformats.org/officeDocument/2006/relationships/worksheet" Target="/xl/worksheets/sheet18.xml" Id="R5ad673ff8d044c9b" /><Relationship Type="http://schemas.openxmlformats.org/officeDocument/2006/relationships/worksheet" Target="/xl/worksheets/sheet19.xml" Id="Rc505fcfbf6d34e44" /><Relationship Type="http://schemas.openxmlformats.org/officeDocument/2006/relationships/worksheet" Target="/xl/worksheets/sheet20.xml" Id="R7561f4f467e34208" /><Relationship Type="http://schemas.openxmlformats.org/officeDocument/2006/relationships/worksheet" Target="/xl/worksheets/sheet21.xml" Id="R1886e62d271f4014" /><Relationship Type="http://schemas.openxmlformats.org/officeDocument/2006/relationships/worksheet" Target="/xl/worksheets/sheet22.xml" Id="R36a0d3e58c8e4433" /><Relationship Type="http://schemas.openxmlformats.org/officeDocument/2006/relationships/worksheet" Target="/xl/worksheets/sheet23.xml" Id="Rb925c09fc2f44148" /><Relationship Type="http://schemas.openxmlformats.org/officeDocument/2006/relationships/worksheet" Target="/xl/worksheets/sheet24.xml" Id="R3e4b174b502c4e7e" /><Relationship Type="http://schemas.openxmlformats.org/officeDocument/2006/relationships/worksheet" Target="/xl/worksheets/sheet25.xml" Id="R7aafefec2ad94b9c" /><Relationship Type="http://schemas.openxmlformats.org/officeDocument/2006/relationships/worksheet" Target="/xl/worksheets/sheet26.xml" Id="R784ec35948494022" /><Relationship Type="http://schemas.openxmlformats.org/officeDocument/2006/relationships/worksheet" Target="/xl/worksheets/sheet27.xml" Id="R04073f1e7bb744c8" /></Relationships>
</file>

<file path=xl/tables/table1.xml><?xml version="1.0" encoding="utf-8"?>
<x:table xmlns:x="http://schemas.openxmlformats.org/spreadsheetml/2006/main" id="1" name="Predpostavke_tbl" displayName="Predpostavke_tbl" ref="A4:G31" headerRowCount="1" totalsRowCount="0" totalsRowShown="0">
  <x:tableColumns count="7">
    <x:tableColumn id="1" name="ID"/>
    <x:tableColumn id="2" name="Predpostavka"/>
    <x:tableColumn id="3" name="Enota"/>
    <x:tableColumn id="4" name="Konzervativno"/>
    <x:tableColumn id="5" name="Realistično"/>
    <x:tableColumn id="6" name="Potencial"/>
    <x:tableColumn id="7" name="Opomb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IModel_tbl" displayName="ROIModel_tbl" ref="A4:D27" headerRowCount="1" totalsRowCount="0" totalsRowShown="0">
  <x:tableColumns count="4">
    <x:tableColumn id="1" name="Metrika"/>
    <x:tableColumn id="2" name="Konzervativno"/>
    <x:tableColumn id="3" name="Realistično"/>
    <x:tableColumn id="4" name="Poten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ntrole_tbl" displayName="Kontrole_tbl" ref="A4:E15" headerRowCount="1" totalsRowCount="0" totalsRowShown="0">
  <x:tableColumns count="5">
    <x:tableColumn id="1" name="Kontrola"/>
    <x:tableColumn id="2" name="Konzervativno"/>
    <x:tableColumn id="3" name="Realistično"/>
    <x:tableColumn id="4" name="Potencial"/>
    <x:tableColumn id="5" name="Pom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znibenchmarki_tbl" displayName="Trznibenchmarki_tbl" ref="A4:I16" headerRowCount="1" totalsRowCount="0" totalsRowShown="0">
  <x:tableColumns count="9">
    <x:tableColumn id="1" name="ID"/>
    <x:tableColumn id="2" name="Obseg"/>
    <x:tableColumn id="3" name="Kazalnik"/>
    <x:tableColumn id="4" name="Vrednost"/>
    <x:tableColumn id="5" name="Enota"/>
    <x:tableColumn id="6" name="Obdobje"/>
    <x:tableColumn id="7" name="Dokaz"/>
    <x:tableColumn id="8" name="Vir"/>
    <x:tableColumn id="9" name="Opomb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gmenti_tbl" displayName="Segmenti_tbl" ref="A4:G12" headerRowCount="1" totalsRowCount="0" totalsRowShown="0">
  <x:tableColumns count="7">
    <x:tableColumn id="1" name="ID"/>
    <x:tableColumn id="2" name="Segment"/>
    <x:tableColumn id="3" name="Prepoznavni znaki"/>
    <x:tableColumn id="4" name="Najdražje napake"/>
    <x:tableColumn id="5" name="Primarni procesni fokus"/>
    <x:tableColumn id="6" name="Glavna ovira"/>
    <x:tableColumn id="7" name="Priorite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rhetipi_tbl" displayName="Arhetipi_tbl" ref="A4:G12" headerRowCount="1" totalsRowCount="0" totalsRowShown="0">
  <x:tableColumns count="7">
    <x:tableColumn id="1" name="ID"/>
    <x:tableColumn id="2" name="Arhetip"/>
    <x:tableColumn id="3" name="Lokacije"/>
    <x:tableColumn id="4" name="Sistemski signal"/>
    <x:tableColumn id="5" name="Zrelost"/>
    <x:tableColumn id="6" name="Naslednji korak"/>
    <x:tableColumn id="7" name="Ključno tveganj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cesi_tbl" displayName="Procesi_tbl" ref="A4:F16" headerRowCount="1" totalsRowCount="0" totalsRowShown="0">
  <x:tableColumns count="6">
    <x:tableColumn id="1" name="ID"/>
    <x:tableColumn id="2" name="Proces"/>
    <x:tableColumn id="3" name="Jedrni tok"/>
    <x:tableColumn id="4" name="Tipična izguba"/>
    <x:tableColumn id="5" name="Kaj meriti"/>
    <x:tableColumn id="6" name="Naslovljivos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odprocesi_tbl" displayName="Podprocesi_tbl" ref="A4:E26" headerRowCount="1" totalsRowCount="0" totalsRowShown="0">
  <x:tableColumns count="5">
    <x:tableColumn id="1" name="ID"/>
    <x:tableColumn id="2" name="Proces"/>
    <x:tableColumn id="3" name="Podproces"/>
    <x:tableColumn id="4" name="Ključni podatki"/>
    <x:tableColumn id="5" name="Tipično tveganj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atalogbolecin_tbl" displayName="Katalogbolecin_tbl" ref="A4:H33" headerRowCount="1" totalsRowCount="0" totalsRowShown="0">
  <x:tableColumns count="8">
    <x:tableColumn id="1" name="ID"/>
    <x:tableColumn id="2" name="Proces"/>
    <x:tableColumn id="3" name="Bolečina"/>
    <x:tableColumn id="4" name="Meritev"/>
    <x:tableColumn id="5" name="Ekonomski učinek"/>
    <x:tableColumn id="6" name="Glavni vzrok"/>
    <x:tableColumn id="7" name="Naslovljivost"/>
    <x:tableColumn id="8" name="Vi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PIslovar_tbl" displayName="KPIslovar_tbl" ref="A4:F24" headerRowCount="1" totalsRowCount="0" totalsRowShown="0">
  <x:tableColumns count="6">
    <x:tableColumn id="1" name="ID"/>
    <x:tableColumn id="2" name="KPI"/>
    <x:tableColumn id="3" name="Formula/definicija"/>
    <x:tableColumn id="4" name="Odločitev"/>
    <x:tableColumn id="5" name="Tipičen vir"/>
    <x:tableColumn id="6" name="Opomb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nancneformule_tbl" displayName="Financneformule_tbl" ref="A4:E16" headerRowCount="1" totalsRowCount="0" totalsRowShown="0">
  <x:tableColumns count="5">
    <x:tableColumn id="1" name="ID"/>
    <x:tableColumn id="2" name="Metrika"/>
    <x:tableColumn id="3" name="Formula"/>
    <x:tableColumn id="4" name="Rezultat"/>
    <x:tableColumn id="5" name="Pravilo interpretacij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lecinaresitev_tbl" displayName="Bolecinaresitev_tbl" ref="A4:F16" headerRowCount="1" totalsRowCount="0" totalsRowShown="0">
  <x:tableColumns count="6">
    <x:tableColumn id="1" name="Modul"/>
    <x:tableColumn id="2" name="Bolečina"/>
    <x:tableColumn id="3" name="Relevantna sposobnost"/>
    <x:tableColumn id="4" name="Pokritost"/>
    <x:tableColumn id="5" name="Meja obljube"/>
    <x:tableColumn id="6" name="Naslednji dokaz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NTHEONzemljevid_tbl" displayName="PANTHEONzemljevid_tbl" ref="A4:F18" headerRowCount="1" totalsRowCount="0" totalsRowShown="0">
  <x:tableColumns count="6">
    <x:tableColumn id="1" name="ID"/>
    <x:tableColumn id="2" name="Poslovna potreba"/>
    <x:tableColumn id="3" name="Pokritost"/>
    <x:tableColumn id="4" name="Jedro/ekosistem"/>
    <x:tableColumn id="5" name="Kaj preveriti"/>
    <x:tableColumn id="6" name="Vi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redpogojifunkcij_tbl" displayName="Predpogojifunkcij_tbl" ref="A4:F16" headerRowCount="1" totalsRowCount="0" totalsRowShown="0">
  <x:tableColumns count="6">
    <x:tableColumn id="1" name="ID"/>
    <x:tableColumn id="2" name="Predpogoj"/>
    <x:tableColumn id="3" name="Kaj mora obstajati"/>
    <x:tableColumn id="4" name="Kdaj"/>
    <x:tableColumn id="5" name="Lastnik"/>
    <x:tableColumn id="6" name="Tveganje brez predpogoj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Vprasalnik_tbl" displayName="Vprasalnik_tbl" ref="A4:J39" headerRowCount="1" totalsRowCount="0" totalsRowShown="0">
  <x:tableColumns count="10">
    <x:tableColumn id="1" name="ID"/>
    <x:tableColumn id="2" name="Faza"/>
    <x:tableColumn id="3" name="Modul"/>
    <x:tableColumn id="4" name="Vprašanje"/>
    <x:tableColumn id="5" name="Tip odgovora"/>
    <x:tableColumn id="6" name="Tip podatka"/>
    <x:tableColumn id="7" name="Obvezno"/>
    <x:tableColumn id="8" name="Če ne ve"/>
    <x:tableColumn id="9" name="Tipični vir"/>
    <x:tableColumn id="10" name="Dvojno štetj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gulatornikoledar_tbl" displayName="Regulatornikoledar_tbl" ref="A4:G12" headerRowCount="1" totalsRowCount="0" totalsRowShown="0">
  <x:tableColumns count="7">
    <x:tableColumn id="1" name="ID"/>
    <x:tableColumn id="2" name="Tema"/>
    <x:tableColumn id="3" name="Operativna posledica"/>
    <x:tableColumn id="4" name="Čas"/>
    <x:tableColumn id="5" name="Proces"/>
    <x:tableColumn id="6" name="Prodajni signal"/>
    <x:tableColumn id="7" name="Vi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tegracije_tbl" displayName="Integracije_tbl" ref="A4:H16" headerRowCount="1" totalsRowCount="0" totalsRowShown="0">
  <x:tableColumns count="8">
    <x:tableColumn id="1" name="ID"/>
    <x:tableColumn id="2" name="Povezava"/>
    <x:tableColumn id="3" name="Tok"/>
    <x:tableColumn id="4" name="Podatkovni objekti"/>
    <x:tableColumn id="5" name="Frekvenca"/>
    <x:tableColumn id="6" name="Lastnik"/>
    <x:tableColumn id="7" name="Kaj preveriti"/>
    <x:tableColumn id="8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gistervirov_tbl" displayName="Registervirov_tbl" ref="A4:G22" headerRowCount="1" totalsRowCount="0" totalsRowShown="0">
  <x:tableColumns count="7">
    <x:tableColumn id="1" name="ID"/>
    <x:tableColumn id="2" name="Vir"/>
    <x:tableColumn id="3" name="Tip"/>
    <x:tableColumn id="4" name="Dostopano"/>
    <x:tableColumn id="5" name="Uporaba"/>
    <x:tableColumn id="6" name="URL"/>
    <x:tableColumn id="7" name="Opomba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aziskovalnevrzeli_tbl" displayName="Raziskovalnevrzeli_tbl" ref="A4:F14" headerRowCount="1" totalsRowCount="0" totalsRowShown="0">
  <x:tableColumns count="6">
    <x:tableColumn id="1" name="ID"/>
    <x:tableColumn id="2" name="Področje"/>
    <x:tableColumn id="3" name="Kaj preveriti"/>
    <x:tableColumn id="4" name="Prioriteta"/>
    <x:tableColumn id="5" name="Kdaj"/>
    <x:tableColumn id="6" name="Lastnik preverjanja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Hipoteze_tbl" displayName="Hipoteze_tbl" ref="A4:F16" headerRowCount="1" totalsRowCount="0" totalsRowShown="0">
  <x:tableColumns count="6">
    <x:tableColumn id="1" name="ID"/>
    <x:tableColumn id="2" name="Kontekst"/>
    <x:tableColumn id="3" name="Hipoteza"/>
    <x:tableColumn id="4" name="Dokaz"/>
    <x:tableColumn id="5" name="Priporočena poteza"/>
    <x:tableColumn id="6" name="Statu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egmentbolecina_tbl" displayName="Segmentbolecina_tbl" ref="A4:E36" headerRowCount="1" totalsRowCount="0" totalsRowShown="0">
  <x:tableColumns count="5">
    <x:tableColumn id="1" name="Segment"/>
    <x:tableColumn id="2" name="Bolečina ID"/>
    <x:tableColumn id="3" name="Bolečina"/>
    <x:tableColumn id="4" name="Verjetnost"/>
    <x:tableColumn id="5" name="Prvo vprašanj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ersonabolecina_tbl" displayName="Personabolecina_tbl" ref="A4:E20" headerRowCount="1" totalsRowCount="0" totalsRowShown="0">
  <x:tableColumns count="5">
    <x:tableColumn id="1" name="Persona"/>
    <x:tableColumn id="2" name="Job to be done"/>
    <x:tableColumn id="3" name="Frustracija"/>
    <x:tableColumn id="4" name="Dokaz, ki ga potrebuje"/>
    <x:tableColumn id="5" name="Prvo vprašanj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rocesKPI_tbl" displayName="ProcesKPI_tbl" ref="A4:E31" headerRowCount="1" totalsRowCount="0" totalsRowShown="0">
  <x:tableColumns count="5">
    <x:tableColumn id="1" name="Proces"/>
    <x:tableColumn id="2" name="KPI"/>
    <x:tableColumn id="3" name="Metrika"/>
    <x:tableColumn id="4" name="Frekvenca"/>
    <x:tableColumn id="5" name="Lastnik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olecinafinance_tbl" displayName="Bolecinafinance_tbl" ref="A4:F21" headerRowCount="1" totalsRowCount="0" totalsRowShown="0">
  <x:tableColumns count="6">
    <x:tableColumn id="1" name="Modul"/>
    <x:tableColumn id="2" name="Bolečina"/>
    <x:tableColumn id="3" name="Formula/vhod"/>
    <x:tableColumn id="4" name="Košarica"/>
    <x:tableColumn id="5" name="Vir"/>
    <x:tableColumn id="6" name="Pravilo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roblempodatki_tbl" displayName="Problempodatki_tbl" ref="A4:G16" headerRowCount="1" totalsRowCount="0" totalsRowShown="0">
  <x:tableColumns count="7">
    <x:tableColumn id="1" name="Modul"/>
    <x:tableColumn id="2" name="Primarni tip"/>
    <x:tableColumn id="3" name="Osnova"/>
    <x:tableColumn id="4" name="Stopnja/izguba"/>
    <x:tableColumn id="5" name="Vzrok"/>
    <x:tableColumn id="6" name="Kontekst"/>
    <x:tableColumn id="7" name="Pravilo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CPScoring_tbl" displayName="ICPScoring_tbl" ref="A4:F11" headerRowCount="1" totalsRowCount="0" totalsRowShown="0">
  <x:tableColumns count="6">
    <x:tableColumn id="1" name="Dimenzija"/>
    <x:tableColumn id="2" name="Utež"/>
    <x:tableColumn id="3" name="Ocena 1–5"/>
    <x:tableColumn id="4" name="Točke"/>
    <x:tableColumn id="5" name="Signal visoke vrednosti"/>
    <x:tableColumn id="6" name="Kritična rdeča zastav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a42744dbf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23cafbba9449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19d167e7fd45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ff7a28c7a44e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23f604f73d49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b6a5a897fc42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31c91d65e544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b6a26f30d84b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98318688d741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d48d74f5a5a41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773e4d407c04a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ab31d8331a242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2524eb25e5b413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b28b65313c44ab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53e99ea2f6a452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3d970afee324ce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da1a2c7c8d0545b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b8c08691ef64b0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d4c4cdec54f41f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c1a90cfeb9c4b4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3fd0427b641145a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022443590baa449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52bc2e2abbbb4ce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3caced0634e6447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2eb791d0581c4b9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2441b3c354294a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56" customHeight="1">
      <x:c r="A1" s="4" t="str">
        <x:v>GLOBINSKA RAZISKAVA
MALOPRODAJA</x:v>
      </x:c>
      <x:c r="B1" s="4"/>
      <x:c r="C1" s="4"/>
      <x:c r="D1" s="4"/>
      <x:c r="E1" s="4"/>
      <x:c r="F1" s="4"/>
      <x:c r="G1" s="4"/>
      <x:c r="H1" s="4"/>
    </x:row>
    <x:row r="2" ht="56" customHeight="1">
      <x:c r="A2" s="4"/>
      <x:c r="B2" s="4"/>
      <x:c r="C2" s="4"/>
      <x:c r="D2" s="4"/>
      <x:c r="E2" s="4"/>
      <x:c r="F2" s="4"/>
      <x:c r="G2" s="4"/>
      <x:c r="H2" s="4"/>
    </x:row>
    <x:row r="3" ht="56" customHeight="1">
      <x:c r="A3" s="4"/>
      <x:c r="B3" s="4"/>
      <x:c r="C3" s="4"/>
      <x:c r="D3" s="4"/>
      <x:c r="E3" s="4"/>
      <x:c r="F3" s="4"/>
      <x:c r="G3" s="4"/>
      <x:c r="H3" s="4"/>
    </x:row>
    <x:row r="5">
      <x:c r="A5" s="7" t="str">
        <x:v>Datalab / PANTHEON Retail | Slovenija | presek 7. 8. 2026</x:v>
      </x:c>
      <x:c r="B5" s="7"/>
      <x:c r="C5" s="7"/>
      <x:c r="D5" s="7"/>
      <x:c r="E5" s="7"/>
      <x:c r="F5" s="7"/>
      <x:c r="G5" s="7"/>
      <x:c r="H5" s="7"/>
    </x:row>
    <x:row r="7">
      <x:c r="A7" s="8" t="str">
        <x:v>Ključni podatek</x:v>
      </x:c>
      <x:c r="B7" s="8" t="str">
        <x:v>Vrednost</x:v>
      </x:c>
      <x:c r="D7" s="37" t="str">
        <x:v>Osrednja teza
PANTHEON v maloprodaji ustvarja vrednost, kadar je en zapis artikla, cene, zaloge, transakcije in dokumenta povezan čez poslovalnice ter kanale. ROI ni katalog funkcionalnosti: potrebuje obseg, stopnjo izgube, ekonomsko posledico, vzrok, naslovljivi delež ter strošek uvedbe.
Modri vnosi so uporabniške predpostavke. Zelene formule so povezave med listi. Rdeče je rezervirano za zunanje povezave.</x:v>
      </x:c>
      <x:c r="E7" s="38"/>
      <x:c r="F7" s="38"/>
      <x:c r="G7" s="38"/>
      <x:c r="H7" s="39"/>
    </x:row>
    <x:row r="8">
      <x:c r="A8" s="14" t="str">
        <x:v>Prodaja blaga v slovenski maloprodaji 2025</x:v>
      </x:c>
      <x:c r="B8" s="16" t="n">
        <x:f>'Trzni_benchmarki'!D5</x:f>
        <x:v>18250000000</x:v>
      </x:c>
      <x:c r="D8" s="40"/>
      <x:c r="E8" s="41"/>
      <x:c r="F8" s="41"/>
      <x:c r="G8" s="41"/>
      <x:c r="H8" s="42"/>
    </x:row>
    <x:row r="9">
      <x:c r="A9" s="14" t="str">
        <x:v>Živila in pijače 2025</x:v>
      </x:c>
      <x:c r="B9" s="16" t="n">
        <x:f>'Trzni_benchmarki'!D6</x:f>
        <x:v>5000000000</x:v>
      </x:c>
      <x:c r="D9" s="40"/>
      <x:c r="E9" s="41"/>
      <x:c r="F9" s="41"/>
      <x:c r="G9" s="41"/>
      <x:c r="H9" s="42"/>
    </x:row>
    <x:row r="10">
      <x:c r="A10" s="14" t="str">
        <x:v>EU internetni uporabniki, ki kupujejo na spletu</x:v>
      </x:c>
      <x:c r="B10" s="17" t="n">
        <x:f>'Trzni_benchmarki'!D12</x:f>
        <x:v>0.78</x:v>
      </x:c>
      <x:c r="D10" s="40"/>
      <x:c r="E10" s="41"/>
      <x:c r="F10" s="41"/>
      <x:c r="G10" s="41"/>
      <x:c r="H10" s="42"/>
    </x:row>
    <x:row r="11">
      <x:c r="A11" s="14" t="str">
        <x:v>Domači B2B e-računi</x:v>
      </x:c>
      <x:c r="B11" s="14" t="str">
        <x:v>1. 1. 2028</x:v>
      </x:c>
      <x:c r="D11" s="40"/>
      <x:c r="E11" s="41"/>
      <x:c r="F11" s="41"/>
      <x:c r="G11" s="41"/>
      <x:c r="H11" s="42"/>
    </x:row>
    <x:row r="12">
      <x:c r="D12" s="40"/>
      <x:c r="E12" s="41"/>
      <x:c r="F12" s="41"/>
      <x:c r="G12" s="41"/>
      <x:c r="H12" s="42"/>
    </x:row>
    <x:row r="13">
      <x:c r="D13" s="43"/>
      <x:c r="E13" s="44"/>
      <x:c r="F13" s="44"/>
      <x:c r="G13" s="44"/>
      <x:c r="H13" s="45"/>
    </x:row>
    <x:row r="15">
      <x:c r="A15" s="49" t="str">
        <x:v>Navigacija: Predpostavke → ROI_Model → Kontrole; raziskovalne priloge sledijo po listih. Scenariji so ilustrativni in jih je treba pred uporabo zamenjati z dokazljivimi podatki podjetja in pisno ponudbo.</x:v>
      </x:c>
      <x:c r="B15" s="49"/>
      <x:c r="C15" s="49"/>
      <x:c r="D15" s="49"/>
      <x:c r="E15" s="49"/>
      <x:c r="F15" s="49"/>
      <x:c r="G15" s="49"/>
      <x:c r="H15" s="49"/>
    </x:row>
    <x:row r="16">
      <x:c r="A16" s="49"/>
      <x:c r="B16" s="49"/>
      <x:c r="C16" s="49"/>
      <x:c r="D16" s="49"/>
      <x:c r="E16" s="49"/>
      <x:c r="F16" s="49"/>
      <x:c r="G16" s="49"/>
      <x:c r="H16" s="49"/>
    </x:row>
  </x:sheetData>
  <x:mergeCells>
    <x:mergeCell ref="A1:H3"/>
    <x:mergeCell ref="A5:H5"/>
    <x:mergeCell ref="D7:H13"/>
    <x:mergeCell ref="A15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38" customHeight="1">
      <x:c r="A1" s="4" t="str">
        <x:v>Predpostavke scenarijskega ROI-modela</x:v>
      </x:c>
      <x:c r="B1" s="4"/>
      <x:c r="C1" s="4"/>
      <x:c r="D1" s="4"/>
      <x:c r="E1" s="4"/>
      <x:c r="F1" s="4"/>
      <x:c r="G1" s="4"/>
    </x:row>
    <x:row r="2" ht="34" customHeight="1">
      <x:c r="A2" s="52" t="str">
        <x:v>Modre številke so urejevalni vhodi. Vse vrednosti so ilustrativne in jih je treba pred uporabo zamenjati z dokazljivim baselineom trgovca ter pisno ponudbo.</x:v>
      </x:c>
      <x:c r="B2" s="52"/>
      <x:c r="C2" s="52"/>
      <x:c r="D2" s="52"/>
      <x:c r="E2" s="52"/>
      <x:c r="F2" s="52"/>
      <x:c r="G2" s="52"/>
    </x:row>
    <x:row r="4" ht="28" customHeight="1">
      <x:c r="A4" s="59" t="str">
        <x:v>ID</x:v>
      </x:c>
      <x:c r="B4" s="60" t="str">
        <x:v>Predpostavka</x:v>
      </x:c>
      <x:c r="C4" s="60" t="str">
        <x:v>Enota</x:v>
      </x:c>
      <x:c r="D4" s="60" t="str">
        <x:v>Konzervativno</x:v>
      </x:c>
      <x:c r="E4" s="60" t="str">
        <x:v>Realistično</x:v>
      </x:c>
      <x:c r="F4" s="60" t="str">
        <x:v>Potencial</x:v>
      </x:c>
      <x:c r="G4" s="61" t="str">
        <x:v>Opomba</x:v>
      </x:c>
    </x:row>
    <x:row r="5">
      <x:c r="A5" s="81" t="str">
        <x:v>A01</x:v>
      </x:c>
      <x:c r="B5" s="82" t="str">
        <x:v>Letni neto prihodki</x:v>
      </x:c>
      <x:c r="C5" s="82" t="str">
        <x:v>EUR</x:v>
      </x:c>
      <x:c r="D5" s="96" t="n">
        <x:v>1500000</x:v>
      </x:c>
      <x:c r="E5" s="96" t="n">
        <x:v>5000000</x:v>
      </x:c>
      <x:c r="F5" s="96" t="n">
        <x:v>15000000</x:v>
      </x:c>
      <x:c r="G5" s="83" t="str">
        <x:v>Ilustrativni obseg; zamenjaj s podatkom finance</x:v>
      </x:c>
    </x:row>
    <x:row r="6">
      <x:c r="A6" s="84" t="str">
        <x:v>A02</x:v>
      </x:c>
      <x:c r="B6" s="85" t="str">
        <x:v>COGS delež neto prihodkov</x:v>
      </x:c>
      <x:c r="C6" s="85" t="str">
        <x:v>%</x:v>
      </x:c>
      <x:c r="D6" s="99" t="n">
        <x:v>0.7</x:v>
      </x:c>
      <x:c r="E6" s="99" t="n">
        <x:v>0.67</x:v>
      </x:c>
      <x:c r="F6" s="99" t="n">
        <x:v>0.65</x:v>
      </x:c>
      <x:c r="G6" s="86" t="str">
        <x:v>Uporabi dosledno definicijo COGS</x:v>
      </x:c>
    </x:row>
    <x:row r="7">
      <x:c r="A7" s="84" t="str">
        <x:v>A03</x:v>
      </x:c>
      <x:c r="B7" s="85" t="str">
        <x:v>Prispevna marža</x:v>
      </x:c>
      <x:c r="C7" s="85" t="str">
        <x:v>%</x:v>
      </x:c>
      <x:c r="D7" s="99" t="n">
        <x:v>0.22</x:v>
      </x:c>
      <x:c r="E7" s="99" t="n">
        <x:v>0.27</x:v>
      </x:c>
      <x:c r="F7" s="99" t="n">
        <x:v>0.3</x:v>
      </x:c>
      <x:c r="G7" s="86" t="str">
        <x:v>Po COGS in neposrednih stroških kanala</x:v>
      </x:c>
    </x:row>
    <x:row r="8">
      <x:c r="A8" s="84" t="str">
        <x:v>A04</x:v>
      </x:c>
      <x:c r="B8" s="85" t="str">
        <x:v>Povprečna zaloga po nabavni vrednosti</x:v>
      </x:c>
      <x:c r="C8" s="85" t="str">
        <x:v>EUR</x:v>
      </x:c>
      <x:c r="D8" s="97" t="n">
        <x:v>250000</x:v>
      </x:c>
      <x:c r="E8" s="97" t="n">
        <x:v>700000</x:v>
      </x:c>
      <x:c r="F8" s="97" t="n">
        <x:v>2000000</x:v>
      </x:c>
      <x:c r="G8" s="86" t="str">
        <x:v>Za kapital in strošek financiranja</x:v>
      </x:c>
    </x:row>
    <x:row r="9">
      <x:c r="A9" s="84" t="str">
        <x:v>A05</x:v>
      </x:c>
      <x:c r="B9" s="85" t="str">
        <x:v>Izgubljena prodaja zaradi stockouta</x:v>
      </x:c>
      <x:c r="C9" s="85" t="str">
        <x:v>% prihodkov</x:v>
      </x:c>
      <x:c r="D9" s="99" t="n">
        <x:v>0.006</x:v>
      </x:c>
      <x:c r="E9" s="99" t="n">
        <x:v>0.012</x:v>
      </x:c>
      <x:c r="F9" s="99" t="n">
        <x:v>0.02</x:v>
      </x:c>
      <x:c r="G9" s="86" t="str">
        <x:v>Ne uporabljaj benchmarka brez podatkov podjetja</x:v>
      </x:c>
    </x:row>
    <x:row r="10">
      <x:c r="A10" s="84" t="str">
        <x:v>A06</x:v>
      </x:c>
      <x:c r="B10" s="85" t="str">
        <x:v>Delež nadomestnih/odloženih nakupov</x:v>
      </x:c>
      <x:c r="C10" s="85" t="str">
        <x:v>%</x:v>
      </x:c>
      <x:c r="D10" s="99" t="n">
        <x:v>0.55</x:v>
      </x:c>
      <x:c r="E10" s="99" t="n">
        <x:v>0.45</x:v>
      </x:c>
      <x:c r="F10" s="99" t="n">
        <x:v>0.35</x:v>
      </x:c>
      <x:c r="G10" s="86" t="str">
        <x:v>Zmanjšuje neto izgubljeno maržo</x:v>
      </x:c>
    </x:row>
    <x:row r="11">
      <x:c r="A11" s="84" t="str">
        <x:v>A07</x:v>
      </x:c>
      <x:c r="B11" s="85" t="str">
        <x:v>Naslovljivi delež vzroka stockouta</x:v>
      </x:c>
      <x:c r="C11" s="85" t="str">
        <x:v>%</x:v>
      </x:c>
      <x:c r="D11" s="99" t="n">
        <x:v>0.5</x:v>
      </x:c>
      <x:c r="E11" s="99" t="n">
        <x:v>0.65</x:v>
      </x:c>
      <x:c r="F11" s="99" t="n">
        <x:v>0.75</x:v>
      </x:c>
      <x:c r="G11" s="86" t="str">
        <x:v>Dobavitelj/povpraševanje nista v celoti sistemski problem</x:v>
      </x:c>
    </x:row>
    <x:row r="12">
      <x:c r="A12" s="84" t="str">
        <x:v>A08</x:v>
      </x:c>
      <x:c r="B12" s="85" t="str">
        <x:v>Realistično izboljšanje stockouta</x:v>
      </x:c>
      <x:c r="C12" s="85" t="str">
        <x:v>%</x:v>
      </x:c>
      <x:c r="D12" s="99" t="n">
        <x:v>0.15</x:v>
      </x:c>
      <x:c r="E12" s="99" t="n">
        <x:v>0.25</x:v>
      </x:c>
      <x:c r="F12" s="99" t="n">
        <x:v>0.35</x:v>
      </x:c>
      <x:c r="G12" s="86" t="str">
        <x:v>Ocenjeno; validiraj z dokaznim sprintom</x:v>
      </x:c>
    </x:row>
    <x:row r="13">
      <x:c r="A13" s="84" t="str">
        <x:v>A09</x:v>
      </x:c>
      <x:c r="B13" s="85" t="str">
        <x:v>Znane neposredne letne izgube</x:v>
      </x:c>
      <x:c r="C13" s="85" t="str">
        <x:v>EUR</x:v>
      </x:c>
      <x:c r="D13" s="97" t="n">
        <x:v>15000</x:v>
      </x:c>
      <x:c r="E13" s="97" t="n">
        <x:v>60000</x:v>
      </x:c>
      <x:c r="F13" s="97" t="n">
        <x:v>180000</x:v>
      </x:c>
      <x:c r="G13" s="86" t="str">
        <x:v>Ne vključuj postavk iz drugih modulov</x:v>
      </x:c>
    </x:row>
    <x:row r="14">
      <x:c r="A14" s="84" t="str">
        <x:v>A10</x:v>
      </x:c>
      <x:c r="B14" s="85" t="str">
        <x:v>Naslovljivi delež neposrednih izgub</x:v>
      </x:c>
      <x:c r="C14" s="85" t="str">
        <x:v>%</x:v>
      </x:c>
      <x:c r="D14" s="99" t="n">
        <x:v>0.45</x:v>
      </x:c>
      <x:c r="E14" s="99" t="n">
        <x:v>0.6</x:v>
      </x:c>
      <x:c r="F14" s="99" t="n">
        <x:v>0.7</x:v>
      </x:c>
      <x:c r="G14" s="86" t="str">
        <x:v>Odvisno od glavnega vzroka</x:v>
      </x:c>
    </x:row>
    <x:row r="15">
      <x:c r="A15" s="84" t="str">
        <x:v>A11</x:v>
      </x:c>
      <x:c r="B15" s="85" t="str">
        <x:v>Realistično izboljšanje neposrednih izgub</x:v>
      </x:c>
      <x:c r="C15" s="85" t="str">
        <x:v>%</x:v>
      </x:c>
      <x:c r="D15" s="99" t="n">
        <x:v>0.15</x:v>
      </x:c>
      <x:c r="E15" s="99" t="n">
        <x:v>0.25</x:v>
      </x:c>
      <x:c r="F15" s="99" t="n">
        <x:v>0.35</x:v>
      </x:c>
      <x:c r="G15" s="86" t="str">
        <x:v>Ocenjeno; ne predstavljaj kot garancijo</x:v>
      </x:c>
    </x:row>
    <x:row r="16">
      <x:c r="A16" s="84" t="str">
        <x:v>A12</x:v>
      </x:c>
      <x:c r="B16" s="85" t="str">
        <x:v>Ročne operativne ure na mesec</x:v>
      </x:c>
      <x:c r="C16" s="85" t="str">
        <x:v>ure</x:v>
      </x:c>
      <x:c r="D16" s="101" t="n">
        <x:v>100</x:v>
      </x:c>
      <x:c r="E16" s="101" t="n">
        <x:v>350</x:v>
      </x:c>
      <x:c r="F16" s="101" t="n">
        <x:v>1100</x:v>
      </x:c>
      <x:c r="G16" s="86" t="str">
        <x:v>Brez ur, že vnesenih v drugih modulih</x:v>
      </x:c>
    </x:row>
    <x:row r="17">
      <x:c r="A17" s="84" t="str">
        <x:v>A13</x:v>
      </x:c>
      <x:c r="B17" s="85" t="str">
        <x:v>Polni strošek produktivne ure</x:v>
      </x:c>
      <x:c r="C17" s="85" t="str">
        <x:v>EUR/h</x:v>
      </x:c>
      <x:c r="D17" s="97" t="n">
        <x:v>22</x:v>
      </x:c>
      <x:c r="E17" s="97" t="n">
        <x:v>27</x:v>
      </x:c>
      <x:c r="F17" s="97" t="n">
        <x:v>33</x:v>
      </x:c>
      <x:c r="G17" s="86" t="str">
        <x:v>Jasno definiraj vključene dodatke in prispevke</x:v>
      </x:c>
    </x:row>
    <x:row r="18">
      <x:c r="A18" s="84" t="str">
        <x:v>A14</x:v>
      </x:c>
      <x:c r="B18" s="85" t="str">
        <x:v>Avtomatizabilni delež zajetega dela</x:v>
      </x:c>
      <x:c r="C18" s="85" t="str">
        <x:v>%</x:v>
      </x:c>
      <x:c r="D18" s="99" t="n">
        <x:v>0.35</x:v>
      </x:c>
      <x:c r="E18" s="99" t="n">
        <x:v>0.45</x:v>
      </x:c>
      <x:c r="F18" s="99" t="n">
        <x:v>0.55</x:v>
      </x:c>
      <x:c r="G18" s="86" t="str">
        <x:v>Po procesnem vzroku</x:v>
      </x:c>
    </x:row>
    <x:row r="19">
      <x:c r="A19" s="84" t="str">
        <x:v>A15</x:v>
      </x:c>
      <x:c r="B19" s="85" t="str">
        <x:v>Delež materializacije kapacitete</x:v>
      </x:c>
      <x:c r="C19" s="85" t="str">
        <x:v>%</x:v>
      </x:c>
      <x:c r="D19" s="99" t="n">
        <x:v>0.2</x:v>
      </x:c>
      <x:c r="E19" s="99" t="n">
        <x:v>0.35</x:v>
      </x:c>
      <x:c r="F19" s="99" t="n">
        <x:v>0.5</x:v>
      </x:c>
      <x:c r="G19" s="86" t="str">
        <x:v>Manj nadur/zunanjega dela ali več outputa</x:v>
      </x:c>
    </x:row>
    <x:row r="20">
      <x:c r="A20" s="84" t="str">
        <x:v>A16</x:v>
      </x:c>
      <x:c r="B20" s="85" t="str">
        <x:v>Funkcionalni fit rešitve</x:v>
      </x:c>
      <x:c r="C20" s="85" t="str">
        <x:v>%</x:v>
      </x:c>
      <x:c r="D20" s="99" t="n">
        <x:v>0.6</x:v>
      </x:c>
      <x:c r="E20" s="99" t="n">
        <x:v>0.75</x:v>
      </x:c>
      <x:c r="F20" s="99" t="n">
        <x:v>0.85</x:v>
      </x:c>
      <x:c r="G20" s="86" t="str">
        <x:v>PANTHEON + potrjen integracijski scope</x:v>
      </x:c>
    </x:row>
    <x:row r="21">
      <x:c r="A21" s="84" t="str">
        <x:v>A17</x:v>
      </x:c>
      <x:c r="B21" s="85" t="str">
        <x:v>Sprejetje uporabnikov/procesa</x:v>
      </x:c>
      <x:c r="C21" s="85" t="str">
        <x:v>%</x:v>
      </x:c>
      <x:c r="D21" s="99" t="n">
        <x:v>0.6</x:v>
      </x:c>
      <x:c r="E21" s="99" t="n">
        <x:v>0.75</x:v>
      </x:c>
      <x:c r="F21" s="99" t="n">
        <x:v>0.85</x:v>
      </x:c>
      <x:c r="G21" s="86" t="str">
        <x:v>Usposabljanje, super-userji in disciplina</x:v>
      </x:c>
    </x:row>
    <x:row r="22">
      <x:c r="A22" s="84" t="str">
        <x:v>A18</x:v>
      </x:c>
      <x:c r="B22" s="85" t="str">
        <x:v>Realno zmanjšljiv delež zaloge</x:v>
      </x:c>
      <x:c r="C22" s="85" t="str">
        <x:v>%</x:v>
      </x:c>
      <x:c r="D22" s="99" t="n">
        <x:v>0.04</x:v>
      </x:c>
      <x:c r="E22" s="99" t="n">
        <x:v>0.07</x:v>
      </x:c>
      <x:c r="F22" s="99" t="n">
        <x:v>0.1</x:v>
      </x:c>
      <x:c r="G22" s="86" t="str">
        <x:v>Sproščen kapital se prikaže ločeno</x:v>
      </x:c>
    </x:row>
    <x:row r="23">
      <x:c r="A23" s="84" t="str">
        <x:v>A19</x:v>
      </x:c>
      <x:c r="B23" s="85" t="str">
        <x:v>Letni strošek kapitala</x:v>
      </x:c>
      <x:c r="C23" s="85" t="str">
        <x:v>%</x:v>
      </x:c>
      <x:c r="D23" s="99" t="n">
        <x:v>0.07</x:v>
      </x:c>
      <x:c r="E23" s="99" t="n">
        <x:v>0.08</x:v>
      </x:c>
      <x:c r="F23" s="99" t="n">
        <x:v>0.09</x:v>
      </x:c>
      <x:c r="G23" s="86" t="str">
        <x:v>WACC ali interni prag</x:v>
      </x:c>
    </x:row>
    <x:row r="24">
      <x:c r="A24" s="84" t="str">
        <x:v>A20</x:v>
      </x:c>
      <x:c r="B24" s="85" t="str">
        <x:v>Letne licence/cloud</x:v>
      </x:c>
      <x:c r="C24" s="85" t="str">
        <x:v>EUR</x:v>
      </x:c>
      <x:c r="D24" s="97" t="n">
        <x:v>6000</x:v>
      </x:c>
      <x:c r="E24" s="97" t="n">
        <x:v>15000</x:v>
      </x:c>
      <x:c r="F24" s="97" t="n">
        <x:v>36000</x:v>
      </x:c>
      <x:c r="G24" s="86" t="str">
        <x:v>Zamenjaj s pisno ponudbo</x:v>
      </x:c>
    </x:row>
    <x:row r="25">
      <x:c r="A25" s="84" t="str">
        <x:v>A21</x:v>
      </x:c>
      <x:c r="B25" s="85" t="str">
        <x:v>Letna podpora in vzdrževanje integracij</x:v>
      </x:c>
      <x:c r="C25" s="85" t="str">
        <x:v>EUR</x:v>
      </x:c>
      <x:c r="D25" s="97" t="n">
        <x:v>3500</x:v>
      </x:c>
      <x:c r="E25" s="97" t="n">
        <x:v>8500</x:v>
      </x:c>
      <x:c r="F25" s="97" t="n">
        <x:v>20000</x:v>
      </x:c>
      <x:c r="G25" s="86" t="str">
        <x:v>Vključi redne stroške</x:v>
      </x:c>
    </x:row>
    <x:row r="26">
      <x:c r="A26" s="84" t="str">
        <x:v>A22</x:v>
      </x:c>
      <x:c r="B26" s="85" t="str">
        <x:v>Uvedba in migracija</x:v>
      </x:c>
      <x:c r="C26" s="85" t="str">
        <x:v>EUR</x:v>
      </x:c>
      <x:c r="D26" s="97" t="n">
        <x:v>12000</x:v>
      </x:c>
      <x:c r="E26" s="97" t="n">
        <x:v>35000</x:v>
      </x:c>
      <x:c r="F26" s="97" t="n">
        <x:v>90000</x:v>
      </x:c>
      <x:c r="G26" s="86" t="str">
        <x:v>Enkratni strošek</x:v>
      </x:c>
    </x:row>
    <x:row r="27">
      <x:c r="A27" s="84" t="str">
        <x:v>A23</x:v>
      </x:c>
      <x:c r="B27" s="85" t="str">
        <x:v>Naprave in oprema</x:v>
      </x:c>
      <x:c r="C27" s="85" t="str">
        <x:v>EUR</x:v>
      </x:c>
      <x:c r="D27" s="97" t="n">
        <x:v>3000</x:v>
      </x:c>
      <x:c r="E27" s="97" t="n">
        <x:v>8000</x:v>
      </x:c>
      <x:c r="F27" s="97" t="n">
        <x:v>20000</x:v>
      </x:c>
      <x:c r="G27" s="86" t="str">
        <x:v>Terminali, skenerji, tiskalniki, tehtnice</x:v>
      </x:c>
    </x:row>
    <x:row r="28">
      <x:c r="A28" s="84" t="str">
        <x:v>A24</x:v>
      </x:c>
      <x:c r="B28" s="85" t="str">
        <x:v>Usposabljanje in interni projektni čas</x:v>
      </x:c>
      <x:c r="C28" s="85" t="str">
        <x:v>EUR</x:v>
      </x:c>
      <x:c r="D28" s="97" t="n">
        <x:v>5000</x:v>
      </x:c>
      <x:c r="E28" s="97" t="n">
        <x:v>14000</x:v>
      </x:c>
      <x:c r="F28" s="97" t="n">
        <x:v>35000</x:v>
      </x:c>
      <x:c r="G28" s="86" t="str">
        <x:v>Enkratni strošek</x:v>
      </x:c>
    </x:row>
    <x:row r="29">
      <x:c r="A29" s="84" t="str">
        <x:v>A25</x:v>
      </x:c>
      <x:c r="B29" s="85" t="str">
        <x:v>Faktor doseženega učinka v 1. letu</x:v>
      </x:c>
      <x:c r="C29" s="85" t="str">
        <x:v>%</x:v>
      </x:c>
      <x:c r="D29" s="99" t="n">
        <x:v>0.5</x:v>
      </x:c>
      <x:c r="E29" s="99" t="n">
        <x:v>0.75</x:v>
      </x:c>
      <x:c r="F29" s="99" t="n">
        <x:v>0.85</x:v>
      </x:c>
      <x:c r="G29" s="86" t="str">
        <x:v>Ramp-up / meseci do stabilnosti</x:v>
      </x:c>
    </x:row>
    <x:row r="30">
      <x:c r="A30" s="84" t="str">
        <x:v>A26</x:v>
      </x:c>
      <x:c r="B30" s="85" t="str">
        <x:v>Rast stabilne koristi v 3. letu</x:v>
      </x:c>
      <x:c r="C30" s="85" t="str">
        <x:v>%</x:v>
      </x:c>
      <x:c r="D30" s="99" t="n">
        <x:v>0.02</x:v>
      </x:c>
      <x:c r="E30" s="99" t="n">
        <x:v>0.05</x:v>
      </x:c>
      <x:c r="F30" s="99" t="n">
        <x:v>0.08</x:v>
      </x:c>
      <x:c r="G30" s="86" t="str">
        <x:v>Izboljšanje po stabilizaciji</x:v>
      </x:c>
    </x:row>
    <x:row r="31">
      <x:c r="A31" s="87" t="str">
        <x:v>A27</x:v>
      </x:c>
      <x:c r="B31" s="88" t="str">
        <x:v>Letni diskont</x:v>
      </x:c>
      <x:c r="C31" s="88" t="str">
        <x:v>%</x:v>
      </x:c>
      <x:c r="D31" s="100" t="n">
        <x:v>0.08</x:v>
      </x:c>
      <x:c r="E31" s="100" t="n">
        <x:v>0.08</x:v>
      </x:c>
      <x:c r="F31" s="100" t="n">
        <x:v>0.08</x:v>
      </x:c>
      <x:c r="G31" s="89" t="str">
        <x:v>Za NPV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42a42744dbf49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4" t="str">
        <x:v>Scenarijski ROI-model maloprodaje</x:v>
      </x:c>
      <x:c r="B1" s="4"/>
      <x:c r="C1" s="4"/>
      <x:c r="D1" s="4"/>
    </x:row>
    <x:row r="2" ht="34" customHeight="1">
      <x:c r="A2" s="52" t="str">
        <x:v>Model loči operativno korist, materializirano kapaciteto, letni prihranek financiranja in enkratno sproščeni kapital. Vse vhodne predpostavke urejajte na listu Predpostavke.</x:v>
      </x:c>
      <x:c r="B2" s="52"/>
      <x:c r="C2" s="52"/>
      <x:c r="D2" s="52"/>
    </x:row>
    <x:row r="4" ht="28" customHeight="1">
      <x:c r="A4" s="59" t="str">
        <x:v>Metrika</x:v>
      </x:c>
      <x:c r="B4" s="60" t="str">
        <x:v>Konzervativno</x:v>
      </x:c>
      <x:c r="C4" s="60" t="str">
        <x:v>Realistično</x:v>
      </x:c>
      <x:c r="D4" s="61" t="str">
        <x:v>Potencial</x:v>
      </x:c>
    </x:row>
    <x:row r="5">
      <x:c r="A5" s="81" t="str">
        <x:v>Letni neto prihodki</x:v>
      </x:c>
      <x:c r="B5" s="90" t="n">
        <x:f>'Predpostavke'!D5</x:f>
        <x:v>1500000</x:v>
      </x:c>
      <x:c r="C5" s="90" t="n">
        <x:f>'Predpostavke'!E5</x:f>
        <x:v>5000000</x:v>
      </x:c>
      <x:c r="D5" s="119" t="n">
        <x:f>'Predpostavke'!F5</x:f>
        <x:v>15000000</x:v>
      </x:c>
    </x:row>
    <x:row r="6">
      <x:c r="A6" s="84" t="str">
        <x:v>Bruto dobiček</x:v>
      </x:c>
      <x:c r="B6" s="91" t="n">
        <x:f>B5*(1-'Predpostavke'!D6)</x:f>
        <x:v>450000.00000000006</x:v>
      </x:c>
      <x:c r="C6" s="91" t="n">
        <x:f>C5*(1-'Predpostavke'!E6)</x:f>
        <x:v>1649999.9999999998</x:v>
      </x:c>
      <x:c r="D6" s="120" t="n">
        <x:f>D5*(1-'Predpostavke'!F6)</x:f>
        <x:v>5250000</x:v>
      </x:c>
    </x:row>
    <x:row r="7">
      <x:c r="A7" s="84" t="str">
        <x:v>Prispevna marža v EUR</x:v>
      </x:c>
      <x:c r="B7" s="91" t="n">
        <x:f>B5*'Predpostavke'!D7</x:f>
        <x:v>330000</x:v>
      </x:c>
      <x:c r="C7" s="91" t="n">
        <x:f>C5*'Predpostavke'!E7</x:f>
        <x:v>1350000</x:v>
      </x:c>
      <x:c r="D7" s="120" t="n">
        <x:f>D5*'Predpostavke'!F7</x:f>
        <x:v>4500000</x:v>
      </x:c>
    </x:row>
    <x:row r="8">
      <x:c r="A8" s="84" t="str">
        <x:v>Preprečena izgubljena marža stockoutov</x:v>
      </x:c>
      <x:c r="B8" s="91" t="n">
        <x:f>'Predpostavke'!D5*'Predpostavke'!D9*'Predpostavke'!D7*(1-'Predpostavke'!D10)*'Predpostavke'!D11*'Predpostavke'!D12</x:f>
        <x:v>66.82499999999999</x:v>
      </x:c>
      <x:c r="C8" s="91" t="n">
        <x:f>'Predpostavke'!E5*'Predpostavke'!E9*'Predpostavke'!E7*(1-'Predpostavke'!E10)*'Predpostavke'!E11*'Predpostavke'!E12</x:f>
        <x:v>1447.8750000000005</x:v>
      </x:c>
      <x:c r="D8" s="120" t="n">
        <x:f>'Predpostavke'!F5*'Predpostavke'!F9*'Predpostavke'!F7*(1-'Predpostavke'!F10)*'Predpostavke'!F11*'Predpostavke'!F12</x:f>
        <x:v>15356.249999999998</x:v>
      </x:c>
    </x:row>
    <x:row r="9">
      <x:c r="A9" s="84" t="str">
        <x:v>Zmanjšane neposredne izgube</x:v>
      </x:c>
      <x:c r="B9" s="91" t="n">
        <x:f>'Predpostavke'!D13*'Predpostavke'!D14*'Predpostavke'!D15</x:f>
        <x:v>1012.5</x:v>
      </x:c>
      <x:c r="C9" s="91" t="n">
        <x:f>'Predpostavke'!E13*'Predpostavke'!E14*'Predpostavke'!E15</x:f>
        <x:v>9000</x:v>
      </x:c>
      <x:c r="D9" s="120" t="n">
        <x:f>'Predpostavke'!F13*'Predpostavke'!F14*'Predpostavke'!F15</x:f>
        <x:v>44099.99999999999</x:v>
      </x:c>
    </x:row>
    <x:row r="10">
      <x:c r="A10" s="84" t="str">
        <x:v>Denarno materializirana kapaciteta</x:v>
      </x:c>
      <x:c r="B10" s="91" t="n">
        <x:f>'Predpostavke'!D16*12*'Predpostavke'!D17*'Predpostavke'!D18*'Predpostavke'!D19*'Predpostavke'!D20*'Predpostavke'!D21</x:f>
        <x:v>665.28</x:v>
      </x:c>
      <x:c r="C10" s="91" t="n">
        <x:f>'Predpostavke'!E16*12*'Predpostavke'!E17*'Predpostavke'!E18*'Predpostavke'!E19*'Predpostavke'!E20*'Predpostavke'!E21</x:f>
        <x:v>10046.53125</x:v>
      </x:c>
      <x:c r="D10" s="120" t="n">
        <x:f>'Predpostavke'!F16*12*'Predpostavke'!F17*'Predpostavke'!F18*'Predpostavke'!F19*'Predpostavke'!F20*'Predpostavke'!F21</x:f>
        <x:v>86548.27500000001</x:v>
      </x:c>
    </x:row>
    <x:row r="11">
      <x:c r="A11" s="84" t="str">
        <x:v>Prihranek financiranja zaloge</x:v>
      </x:c>
      <x:c r="B11" s="91" t="n">
        <x:f>'Predpostavke'!D8*'Predpostavke'!D22*'Predpostavke'!D23*'Predpostavke'!D20*'Predpostavke'!D21</x:f>
        <x:v>252.00000000000003</x:v>
      </x:c>
      <x:c r="C11" s="91" t="n">
        <x:f>'Predpostavke'!E8*'Predpostavke'!E22*'Predpostavke'!E23*'Predpostavke'!E20*'Predpostavke'!E21</x:f>
        <x:v>2205.0000000000005</x:v>
      </x:c>
      <x:c r="D11" s="120" t="n">
        <x:f>'Predpostavke'!F8*'Predpostavke'!F22*'Predpostavke'!F23*'Predpostavke'!F20*'Predpostavke'!F21</x:f>
        <x:v>13005</x:v>
      </x:c>
    </x:row>
    <x:row r="12">
      <x:c r="A12" s="109" t="str">
        <x:v>Stabilna letna operativna korist</x:v>
      </x:c>
      <x:c r="B12" s="121" t="n">
        <x:f>SUM(B8:B11)</x:f>
        <x:v>1996.605</x:v>
      </x:c>
      <x:c r="C12" s="121" t="n">
        <x:f>SUM(C8:C11)</x:f>
        <x:v>22699.40625</x:v>
      </x:c>
      <x:c r="D12" s="121" t="n">
        <x:f>SUM(D8:D11)</x:f>
        <x:v>159009.525</x:v>
      </x:c>
    </x:row>
    <x:row r="13">
      <x:c r="A13" s="84" t="str">
        <x:v>Enkratno sproščen obratni kapital</x:v>
      </x:c>
      <x:c r="B13" s="91" t="n">
        <x:f>'Predpostavke'!D8*'Predpostavke'!D22*'Predpostavke'!D20*'Predpostavke'!D21</x:f>
        <x:v>3600</x:v>
      </x:c>
      <x:c r="C13" s="91" t="n">
        <x:f>'Predpostavke'!E8*'Predpostavke'!E22*'Predpostavke'!E20*'Predpostavke'!E21</x:f>
        <x:v>27562.500000000007</x:v>
      </x:c>
      <x:c r="D13" s="120" t="n">
        <x:f>'Predpostavke'!F8*'Predpostavke'!F22*'Predpostavke'!F20*'Predpostavke'!F21</x:f>
        <x:v>144500</x:v>
      </x:c>
    </x:row>
    <x:row r="14">
      <x:c r="A14" s="84" t="str">
        <x:v>Korist v 1. letu po ramp-up</x:v>
      </x:c>
      <x:c r="B14" s="91" t="n">
        <x:f>B12*'Predpostavke'!D29</x:f>
        <x:v>998.3025</x:v>
      </x:c>
      <x:c r="C14" s="91" t="n">
        <x:f>C12*'Predpostavke'!E29</x:f>
        <x:v>17024.5546875</x:v>
      </x:c>
      <x:c r="D14" s="120" t="n">
        <x:f>D12*'Predpostavke'!F29</x:f>
        <x:v>135158.09625</x:v>
      </x:c>
    </x:row>
    <x:row r="15">
      <x:c r="A15" s="84" t="str">
        <x:v>Letni ponavljajoči TCO</x:v>
      </x:c>
      <x:c r="B15" s="91" t="n">
        <x:f>'Predpostavke'!D24+'Predpostavke'!D25</x:f>
        <x:v>9500</x:v>
      </x:c>
      <x:c r="C15" s="91" t="n">
        <x:f>'Predpostavke'!E24+'Predpostavke'!E25</x:f>
        <x:v>23500</x:v>
      </x:c>
      <x:c r="D15" s="120" t="n">
        <x:f>'Predpostavke'!F24+'Predpostavke'!F25</x:f>
        <x:v>56000</x:v>
      </x:c>
    </x:row>
    <x:row r="16">
      <x:c r="A16" s="84" t="str">
        <x:v>Enkratni strošek uvedbe</x:v>
      </x:c>
      <x:c r="B16" s="85" t="n">
        <x:f>SUM('Predpostavke'!D26:D28)</x:f>
        <x:v>20000</x:v>
      </x:c>
      <x:c r="C16" s="85" t="n">
        <x:f>SUM('Predpostavke'!E26:E28)</x:f>
        <x:v>57000</x:v>
      </x:c>
      <x:c r="D16" s="86" t="n">
        <x:f>SUM('Predpostavke'!F26:F28)</x:f>
        <x:v>145000</x:v>
      </x:c>
    </x:row>
    <x:row r="17">
      <x:c r="A17" s="114" t="str">
        <x:v>Učinek 1. leta brez sprostitve kapitala</x:v>
      </x:c>
      <x:c r="B17" s="122" t="n">
        <x:f>B14-B15-B16</x:f>
        <x:v>-28501.697500000002</x:v>
      </x:c>
      <x:c r="C17" s="122" t="n">
        <x:f>C14-C15-C16</x:f>
        <x:v>-63475.4453125</x:v>
      </x:c>
      <x:c r="D17" s="123" t="n">
        <x:f>D14-D15-D16</x:f>
        <x:v>-65841.90375</x:v>
      </x:c>
    </x:row>
    <x:row r="18">
      <x:c r="A18" s="114" t="str">
        <x:v>Denarni učinek 1. leta s sprostitvijo kapitala</x:v>
      </x:c>
      <x:c r="B18" s="122" t="n">
        <x:f>B14+B13-B15-B16</x:f>
        <x:v>-24901.697500000002</x:v>
      </x:c>
      <x:c r="C18" s="122" t="n">
        <x:f>C14+C13-C15-C16</x:f>
        <x:v>-35912.94531249999</x:v>
      </x:c>
      <x:c r="D18" s="123" t="n">
        <x:f>D14+D13-D15-D16</x:f>
        <x:v>78658.09625</x:v>
      </x:c>
    </x:row>
    <x:row r="19">
      <x:c r="A19" s="114" t="str">
        <x:v>Stabilen letni neto učinek</x:v>
      </x:c>
      <x:c r="B19" s="122" t="n">
        <x:f>B12-B15</x:f>
        <x:v>-7503.395</x:v>
      </x:c>
      <x:c r="C19" s="122" t="n">
        <x:f>C12-C15</x:f>
        <x:v>-800.59375</x:v>
      </x:c>
      <x:c r="D19" s="123" t="n">
        <x:f>D12-D15</x:f>
        <x:v>103009.525</x:v>
      </x:c>
    </x:row>
    <x:row r="20">
      <x:c r="A20" s="84" t="str">
        <x:v>Payback s kapitalom (meseci)</x:v>
      </x:c>
      <x:c r="B20" s="127" t="str">
        <x:f>IF(B19&lt;=0,"n.m.",MAX(0,(B16-B13)/(B19/12)))</x:f>
        <x:v>n.m.</x:v>
      </x:c>
      <x:c r="C20" s="127" t="str">
        <x:f>IF(C19&lt;=0,"n.m.",MAX(0,(C16-C13)/(C19/12)))</x:f>
        <x:v>n.m.</x:v>
      </x:c>
      <x:c r="D20" s="128" t="n">
        <x:f>IF(D19&lt;=0,"n.m.",MAX(0,(D16-D13)/(D19/12)))</x:f>
        <x:v>0.058247040746960056</x:v>
      </x:c>
    </x:row>
    <x:row r="21">
      <x:c r="A21" s="84" t="str">
        <x:v>Denarni tok leto 2</x:v>
      </x:c>
      <x:c r="B21" s="91" t="n">
        <x:f>B19</x:f>
        <x:v>-7503.395</x:v>
      </x:c>
      <x:c r="C21" s="91" t="n">
        <x:f>C19</x:f>
        <x:v>-800.59375</x:v>
      </x:c>
      <x:c r="D21" s="120" t="n">
        <x:f>D19</x:f>
        <x:v>103009.525</x:v>
      </x:c>
    </x:row>
    <x:row r="22">
      <x:c r="A22" s="84" t="str">
        <x:v>Denarni tok leto 3</x:v>
      </x:c>
      <x:c r="B22" s="91" t="n">
        <x:f>B12*(1+'Predpostavke'!D30)-B15</x:f>
        <x:v>-7463.4629</x:v>
      </x:c>
      <x:c r="C22" s="91" t="n">
        <x:f>C12*(1+'Predpostavke'!E30)-C15</x:f>
        <x:v>334.37656250000146</x:v>
      </x:c>
      <x:c r="D22" s="120" t="n">
        <x:f>D12*(1+'Predpostavke'!F30)-D15</x:f>
        <x:v>115730.28700000001</x:v>
      </x:c>
    </x:row>
    <x:row r="23">
      <x:c r="A23" s="117" t="str">
        <x:v>3-letni NPV brez kapitala</x:v>
      </x:c>
      <x:c r="B23" s="124" t="n">
        <x:f>B17/(1+'Predpostavke'!D31)+B21/(1+'Predpostavke'!D31)^2+B22/(1+'Predpostavke'!D31)^3</x:f>
        <x:v>-38748.14994538434</x:v>
      </x:c>
      <x:c r="C23" s="124" t="n">
        <x:f>C17/(1+'Predpostavke'!E31)+C21/(1+'Predpostavke'!E31)^2+C22/(1+'Predpostavke'!E31)^3</x:f>
        <x:v>-59194.501679749024</x:v>
      </x:c>
      <x:c r="D23" s="124" t="n">
        <x:f>D17/(1+'Predpostavke'!F31)+D21/(1+'Predpostavke'!F31)^2+D22/(1+'Predpostavke'!F31)^3</x:f>
        <x:v>119219.77203202</x:v>
      </x:c>
    </x:row>
    <x:row r="24">
      <x:c r="A24" s="106" t="str">
        <x:v>3-letni NPV s kapitalom</x:v>
      </x:c>
      <x:c r="B24" s="125" t="n">
        <x:f>B18/(1+'Predpostavke'!D31)+B21/(1+'Predpostavke'!D31)^2+B22/(1+'Predpostavke'!D31)^3</x:f>
        <x:v>-35414.81661205101</x:v>
      </x:c>
      <x:c r="C24" s="125" t="n">
        <x:f>C18/(1+'Predpostavke'!E31)+C21/(1+'Predpostavke'!E31)^2+C22/(1+'Predpostavke'!E31)^3</x:f>
        <x:v>-33673.66834641568</x:v>
      </x:c>
      <x:c r="D24" s="125" t="n">
        <x:f>D18/(1+'Predpostavke'!F31)+D21/(1+'Predpostavke'!F31)^2+D22/(1+'Predpostavke'!F31)^3</x:f>
        <x:v>253016.06832831632</x:v>
      </x:c>
    </x:row>
    <x:row r="25">
      <x:c r="A25" s="106" t="str">
        <x:v>3-letni ROI brez kapitala</x:v>
      </x:c>
      <x:c r="B25" s="126" t="n">
        <x:f>((B14+B12+B12*(1+'Predpostavke'!D30))-(B16+B15+B15+B15))/(B16+B15+B15+B15)</x:f>
        <x:v>-0.8962588742268041</x:v>
      </x:c>
      <x:c r="C25" s="126" t="n">
        <x:f>((C14+C12+C12*(1+'Predpostavke'!E30))-(C16+C15+C15+C15))/(C16+C15+C15+C15)</x:f>
        <x:v>-0.5015032352941177</x:v>
      </x:c>
      <x:c r="D25" s="126" t="n">
        <x:f>((D14+D12+D12*(1+'Predpostavke'!F30))-(D16+D15+D15+D15))/(D16+D15+D15+D15)</x:f>
        <x:v>0.48849171964856225</x:v>
      </x:c>
    </x:row>
    <x:row r="26">
      <x:c r="A26" s="106" t="str">
        <x:v>3-letni ROI s kapitalom</x:v>
      </x:c>
      <x:c r="B26" s="126" t="n">
        <x:f>((B14+B13+B12+B12*(1+'Predpostavke'!D30))-(B16+B15+B15+B15))/(B16+B15+B15+B15)</x:f>
        <x:v>-0.8220320701030928</x:v>
      </x:c>
      <x:c r="C26" s="126" t="n">
        <x:f>((C14+C13+C12+C12*(1+'Predpostavke'!E30))-(C16+C15+C15+C15))/(C16+C15+C15+C15)</x:f>
        <x:v>-0.2853267647058824</x:v>
      </x:c>
      <x:c r="D26" s="126" t="n">
        <x:f>((D14+D13+D12+D12*(1+'Predpostavke'!F30))-(D16+D15+D15+D15))/(D16+D15+D15+D15)</x:f>
        <x:v>0.9501530615015974</x:v>
      </x:c>
    </x:row>
    <x:row r="27">
      <x:c r="A27" s="87" t="str">
        <x:v>Preostala korist do break-even v stabilnem letu</x:v>
      </x:c>
      <x:c r="B27" s="92" t="n">
        <x:f>MAX(0,B15-B8-B10-B11)</x:f>
        <x:v>8515.894999999999</x:v>
      </x:c>
      <x:c r="C27" s="92" t="n">
        <x:f>MAX(0,C15-C8-C10-C11)</x:f>
        <x:v>9800.59375</x:v>
      </x:c>
      <x:c r="D27" s="129" t="n">
        <x:f>MAX(0,D15-D8-D10-D11)</x:f>
        <x:v>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a23cafbba9449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</x:cols>
  <x:sheetData>
    <x:row r="1" ht="38" customHeight="1">
      <x:c r="A1" s="4" t="str">
        <x:v>Kontrole kakovosti modela</x:v>
      </x:c>
      <x:c r="B1" s="4"/>
      <x:c r="C1" s="4"/>
      <x:c r="D1" s="4"/>
      <x:c r="E1" s="4"/>
    </x:row>
    <x:row r="2" ht="34" customHeight="1">
      <x:c r="A2" s="52" t="str">
        <x:v>Kontrole ne pomenijo, da so vhodne predpostavke dokazane. Pokažejo, ali so model, uteži in temeljna pravila skladni.</x:v>
      </x:c>
      <x:c r="B2" s="52"/>
      <x:c r="C2" s="52"/>
      <x:c r="D2" s="52"/>
      <x:c r="E2" s="52"/>
    </x:row>
    <x:row r="4" ht="28" customHeight="1">
      <x:c r="A4" s="59" t="str">
        <x:v>Kontrola</x:v>
      </x:c>
      <x:c r="B4" s="60" t="str">
        <x:v>Konzervativno</x:v>
      </x:c>
      <x:c r="C4" s="60" t="str">
        <x:v>Realistično</x:v>
      </x:c>
      <x:c r="D4" s="60" t="str">
        <x:v>Potencial</x:v>
      </x:c>
      <x:c r="E4" s="61" t="str">
        <x:v>Pomen</x:v>
      </x:c>
    </x:row>
    <x:row r="5">
      <x:c r="A5" s="81" t="str">
        <x:v>Vsi obvezni scenarijski vnosi so izpolnjeni</x:v>
      </x:c>
      <x:c r="B5" s="130" t="str">
        <x:f>IF(COUNT('Predpostavke'!D5:D31)=27,"OK","CHECK")</x:f>
        <x:v>OK</x:v>
      </x:c>
      <x:c r="C5" s="130" t="str">
        <x:f>IF(COUNT('Predpostavke'!E5:E31)=27,"OK","CHECK")</x:f>
        <x:v>OK</x:v>
      </x:c>
      <x:c r="D5" s="130" t="str">
        <x:f>IF(COUNT('Predpostavke'!F5:F31)=27,"OK","CHECK")</x:f>
        <x:v>OK</x:v>
      </x:c>
      <x:c r="E5" s="83" t="str">
        <x:v>27 številčnih predpostavk v vsakem scenariju</x:v>
      </x:c>
    </x:row>
    <x:row r="6">
      <x:c r="A6" s="84" t="str">
        <x:v>Deležne predpostavke so med 0% in 100%</x:v>
      </x:c>
      <x:c r="B6" s="131" t="str">
        <x:f>IF(AND(MIN('Predpostavke'!D6:D7,'Predpostavke'!D9:D12,'Predpostavke'!D14:D15,'Predpostavke'!D18:D23,'Predpostavke'!D29:D31)&gt;=0,MAX('Predpostavke'!D6:D7,'Predpostavke'!D9:D12,'Predpostavke'!D14:D15,'Predpostavke'!D18:D23,'Predpostavke'!D29:D31)&lt;=1),"OK","CHECK")</x:f>
        <x:v>OK</x:v>
      </x:c>
      <x:c r="C6" s="131" t="str">
        <x:f>IF(AND(MIN('Predpostavke'!E6:E7,'Predpostavke'!E9:E12,'Predpostavke'!E14:E15,'Predpostavke'!E18:E23,'Predpostavke'!E29:E31)&gt;=0,MAX('Predpostavke'!E6:E7,'Predpostavke'!E9:E12,'Predpostavke'!E14:E15,'Predpostavke'!E18:E23,'Predpostavke'!E29:E31)&lt;=1),"OK","CHECK")</x:f>
        <x:v>OK</x:v>
      </x:c>
      <x:c r="D6" s="131" t="str">
        <x:f>IF(AND(MIN('Predpostavke'!F6:F7,'Predpostavke'!F9:F12,'Predpostavke'!F14:F15,'Predpostavke'!F18:F23,'Predpostavke'!F29:F31)&gt;=0,MAX('Predpostavke'!F6:F7,'Predpostavke'!F9:F12,'Predpostavke'!F14:F15,'Predpostavke'!F18:F23,'Predpostavke'!F29:F31)&lt;=1),"OK","CHECK")</x:f>
        <x:v>OK</x:v>
      </x:c>
      <x:c r="E6" s="86" t="str">
        <x:v>stopnje, fit, sprejetje in ramp-up</x:v>
      </x:c>
    </x:row>
    <x:row r="7">
      <x:c r="A7" s="84" t="str">
        <x:v>Prispevna marža ne presega bruto marže</x:v>
      </x:c>
      <x:c r="B7" s="131" t="str">
        <x:f>IF('Predpostavke'!D7&lt;=1-'Predpostavke'!D6,"OK","CHECK")</x:f>
        <x:v>OK</x:v>
      </x:c>
      <x:c r="C7" s="131" t="str">
        <x:f>IF('Predpostavke'!E7&lt;=1-'Predpostavke'!E6,"OK","CHECK")</x:f>
        <x:v>OK</x:v>
      </x:c>
      <x:c r="D7" s="131" t="str">
        <x:f>IF('Predpostavke'!F7&lt;=1-'Predpostavke'!F6,"OK","CHECK")</x:f>
        <x:v>OK</x:v>
      </x:c>
      <x:c r="E7" s="86" t="str">
        <x:v>definicijska smiselnost</x:v>
      </x:c>
    </x:row>
    <x:row r="8">
      <x:c r="A8" s="84" t="str">
        <x:v>Letni TCO je pozitiven</x:v>
      </x:c>
      <x:c r="B8" s="131" t="str">
        <x:f>IF('Predpostavke'!D24+'Predpostavke'!D25&gt;0,"OK","CHECK")</x:f>
        <x:v>OK</x:v>
      </x:c>
      <x:c r="C8" s="131" t="str">
        <x:f>IF('Predpostavke'!E24+'Predpostavke'!E25&gt;0,"OK","CHECK")</x:f>
        <x:v>OK</x:v>
      </x:c>
      <x:c r="D8" s="131" t="str">
        <x:f>IF('Predpostavke'!F24+'Predpostavke'!F25&gt;0,"OK","CHECK")</x:f>
        <x:v>OK</x:v>
      </x:c>
      <x:c r="E8" s="86" t="str">
        <x:v>ROI nima deljenja z nič</x:v>
      </x:c>
    </x:row>
    <x:row r="9">
      <x:c r="A9" s="84" t="str">
        <x:v>Stabilna korist se ujema s komponentami</x:v>
      </x:c>
      <x:c r="B9" s="131" t="str">
        <x:f>IF(ABS('ROI_Model'!B12-SUM('ROI_Model'!B8:B11))&lt;1,"OK","CHECK")</x:f>
        <x:v>OK</x:v>
      </x:c>
      <x:c r="C9" s="131" t="str">
        <x:f>IF(ABS('ROI_Model'!C12-SUM('ROI_Model'!C8:C11))&lt;1,"OK","CHECK")</x:f>
        <x:v>OK</x:v>
      </x:c>
      <x:c r="D9" s="131" t="str">
        <x:f>IF(ABS('ROI_Model'!D12-SUM('ROI_Model'!D8:D11))&lt;1,"OK","CHECK")</x:f>
        <x:v>OK</x:v>
      </x:c>
      <x:c r="E9" s="86" t="str">
        <x:v>sum B8:B11</x:v>
      </x:c>
    </x:row>
    <x:row r="10">
      <x:c r="A10" s="84" t="str">
        <x:v>Sproščen kapital je ločen od letne koristi</x:v>
      </x:c>
      <x:c r="B10" s="131" t="str">
        <x:f>IF('ROI_Model'!B13&gt;=0,"OK","CHECK")</x:f>
        <x:v>OK</x:v>
      </x:c>
      <x:c r="C10" s="131" t="str">
        <x:f>IF('ROI_Model'!C13&gt;=0,"OK","CHECK")</x:f>
        <x:v>OK</x:v>
      </x:c>
      <x:c r="D10" s="131" t="str">
        <x:f>IF('ROI_Model'!D13&gt;=0,"OK","CHECK")</x:f>
        <x:v>OK</x:v>
      </x:c>
      <x:c r="E10" s="86" t="str">
        <x:v>denar ni letni prihranek</x:v>
      </x:c>
    </x:row>
    <x:row r="11">
      <x:c r="A11" s="84" t="str">
        <x:v>ROI izračunan brez kapitala</x:v>
      </x:c>
      <x:c r="B11" s="131" t="str">
        <x:f>IF(ISNUMBER('ROI_Model'!B25),"OK","CHECK")</x:f>
        <x:v>OK</x:v>
      </x:c>
      <x:c r="C11" s="131" t="str">
        <x:f>IF(ISNUMBER('ROI_Model'!C25),"OK","CHECK")</x:f>
        <x:v>OK</x:v>
      </x:c>
      <x:c r="D11" s="131" t="str">
        <x:f>IF(ISNUMBER('ROI_Model'!D25),"OK","CHECK")</x:f>
        <x:v>OK</x:v>
      </x:c>
      <x:c r="E11" s="86" t="str">
        <x:v>ločena ekonomska slika</x:v>
      </x:c>
    </x:row>
    <x:row r="12">
      <x:c r="A12" s="84" t="str">
        <x:v>ROI izračunan s kapitalom</x:v>
      </x:c>
      <x:c r="B12" s="131" t="str">
        <x:f>IF(ISNUMBER('ROI_Model'!B26),"OK","CHECK")</x:f>
        <x:v>OK</x:v>
      </x:c>
      <x:c r="C12" s="131" t="str">
        <x:f>IF(ISNUMBER('ROI_Model'!C26),"OK","CHECK")</x:f>
        <x:v>OK</x:v>
      </x:c>
      <x:c r="D12" s="131" t="str">
        <x:f>IF(ISNUMBER('ROI_Model'!D26),"OK","CHECK")</x:f>
        <x:v>OK</x:v>
      </x:c>
      <x:c r="E12" s="86" t="str">
        <x:v>ločena denarna slika</x:v>
      </x:c>
    </x:row>
    <x:row r="13">
      <x:c r="A13" s="84" t="str">
        <x:v>Uteži ICP = 100%</x:v>
      </x:c>
      <x:c r="B13" s="131" t="str">
        <x:f>IF(SUM('ICP_scoring'!B5:B11)=1,"OK","CHECK")</x:f>
        <x:v>OK</x:v>
      </x:c>
      <x:c r="C13" s="131" t="str">
        <x:f>IF(SUM('ICP_scoring'!B5:B11)=1,"OK","CHECK")</x:f>
        <x:v>OK</x:v>
      </x:c>
      <x:c r="D13" s="131" t="str">
        <x:f>IF(SUM('ICP_scoring'!B5:B11)=1,"OK","CHECK")</x:f>
        <x:v>OK</x:v>
      </x:c>
      <x:c r="E13" s="86" t="str">
        <x:v>kvalifikacija leadov</x:v>
      </x:c>
    </x:row>
    <x:row r="14">
      <x:c r="A14" s="84" t="str">
        <x:v>Vsi ključni viri imajo URL</x:v>
      </x:c>
      <x:c r="B14" s="131" t="str">
        <x:f>IF(COUNTA('Register_virov'!F5:F22)&gt;=18,"OK","CHECK")</x:f>
        <x:v>OK</x:v>
      </x:c>
      <x:c r="C14" s="131" t="str">
        <x:f>IF(COUNTA('Register_virov'!F5:F22)&gt;=18,"OK","CHECK")</x:f>
        <x:v>OK</x:v>
      </x:c>
      <x:c r="D14" s="131" t="str">
        <x:f>IF(COUNTA('Register_virov'!F5:F22)&gt;=18,"OK","CHECK")</x:f>
        <x:v>OK</x:v>
      </x:c>
      <x:c r="E14" s="86" t="str">
        <x:v>sledljivost researcha</x:v>
      </x:c>
    </x:row>
    <x:row r="15">
      <x:c r="A15" s="87" t="str">
        <x:v>Katalog bolečin ima najmanj 25 zapisov</x:v>
      </x:c>
      <x:c r="B15" s="132" t="str">
        <x:f>IF(COUNTA('Katalog_bolecin'!A5:A33)&gt;=25,"OK","CHECK")</x:f>
        <x:v>OK</x:v>
      </x:c>
      <x:c r="C15" s="132" t="str">
        <x:f>IF(COUNTA('Katalog_bolecin'!A5:A33)&gt;=25,"OK","CHECK")</x:f>
        <x:v>OK</x:v>
      </x:c>
      <x:c r="D15" s="132" t="str">
        <x:f>IF(COUNTA('Katalog_bolecin'!A5:A33)&gt;=25,"OK","CHECK")</x:f>
        <x:v>OK</x:v>
      </x:c>
      <x:c r="E15" s="89" t="str">
        <x:v>pokritost problema</x:v>
      </x:c>
    </x:row>
  </x:sheetData>
  <x:mergeCells>
    <x:mergeCell ref="A1:E1"/>
    <x:mergeCell ref="A2:E2"/>
  </x:mergeCells>
  <x:conditionalFormatting sqref="B5:D15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bf19d167e7fd45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40" hidden="0" customWidth="1"/>
    <x:col min="4" max="4" width="18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48" hidden="0" customWidth="1"/>
  </x:cols>
  <x:sheetData>
    <x:row r="1" ht="38" customHeight="1">
      <x:c r="A1" s="4" t="str">
        <x:v>Tržni benchmarki in makro kontekst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2" t="str">
        <x:v>Slovenski podatki so primarni. Mednarodni benchmarki so označeni in služijo samo za preverjanje reda velikosti, ne kot privzete vrednosti za slovenski ROI.</x:v>
      </x:c>
      <x:c r="B2" s="52"/>
      <x:c r="C2" s="52"/>
      <x:c r="D2" s="52"/>
      <x:c r="E2" s="52"/>
      <x:c r="F2" s="52"/>
      <x:c r="G2" s="52"/>
      <x:c r="H2" s="52"/>
      <x:c r="I2" s="52"/>
    </x:row>
    <x:row r="4" ht="28" customHeight="1">
      <x:c r="A4" s="59" t="str">
        <x:v>ID</x:v>
      </x:c>
      <x:c r="B4" s="60" t="str">
        <x:v>Obseg</x:v>
      </x:c>
      <x:c r="C4" s="60" t="str">
        <x:v>Kazalnik</x:v>
      </x:c>
      <x:c r="D4" s="60" t="str">
        <x:v>Vrednost</x:v>
      </x:c>
      <x:c r="E4" s="60" t="str">
        <x:v>Enota</x:v>
      </x:c>
      <x:c r="F4" s="60" t="str">
        <x:v>Obdobje</x:v>
      </x:c>
      <x:c r="G4" s="60" t="str">
        <x:v>Dokaz</x:v>
      </x:c>
      <x:c r="H4" s="60" t="str">
        <x:v>Vir</x:v>
      </x:c>
      <x:c r="I4" s="61" t="str">
        <x:v>Opomba</x:v>
      </x:c>
    </x:row>
    <x:row r="5" ht="24" customHeight="1">
      <x:c r="A5" s="81" t="str">
        <x:v>M01</x:v>
      </x:c>
      <x:c r="B5" s="82" t="str">
        <x:v>Slovenija</x:v>
      </x:c>
      <x:c r="C5" s="82" t="str">
        <x:v>Maloprodaja skupaj – prodaja blaga</x:v>
      </x:c>
      <x:c r="D5" s="90" t="n">
        <x:v>18250000000</x:v>
      </x:c>
      <x:c r="E5" s="82" t="str">
        <x:v>EUR</x:v>
      </x:c>
      <x:c r="F5" s="82" t="str">
        <x:v>2025</x:v>
      </x:c>
      <x:c r="G5" s="82" t="str">
        <x:v>Uradni</x:v>
      </x:c>
      <x:c r="H5" s="82" t="str">
        <x:v>SURS-01</x:v>
      </x:c>
      <x:c r="I5" s="83" t="str">
        <x:v>Novo SKD 2025; trga ne uporabljaj kot množitelj ROI.</x:v>
      </x:c>
    </x:row>
    <x:row r="6" ht="24" customHeight="1">
      <x:c r="A6" s="84" t="str">
        <x:v>M02</x:v>
      </x:c>
      <x:c r="B6" s="85" t="str">
        <x:v>Slovenija</x:v>
      </x:c>
      <x:c r="C6" s="85" t="str">
        <x:v>Živila in pijače</x:v>
      </x:c>
      <x:c r="D6" s="91" t="n">
        <x:v>5000000000</x:v>
      </x:c>
      <x:c r="E6" s="85" t="str">
        <x:v>EUR</x:v>
      </x:c>
      <x:c r="F6" s="85" t="str">
        <x:v>2025</x:v>
      </x:c>
      <x:c r="G6" s="85" t="str">
        <x:v>Uradni</x:v>
      </x:c>
      <x:c r="H6" s="85" t="str">
        <x:v>SURS-01</x:v>
      </x:c>
      <x:c r="I6" s="86" t="str">
        <x:v>Roki, cene, pogoste dobave in odpisi.</x:v>
      </x:c>
    </x:row>
    <x:row r="7" ht="24" customHeight="1">
      <x:c r="A7" s="84" t="str">
        <x:v>M03</x:v>
      </x:c>
      <x:c r="B7" s="85" t="str">
        <x:v>Slovenija</x:v>
      </x:c>
      <x:c r="C7" s="85" t="str">
        <x:v>Motorna vozila in deli</x:v>
      </x:c>
      <x:c r="D7" s="91" t="n">
        <x:v>2730000000</x:v>
      </x:c>
      <x:c r="E7" s="85" t="str">
        <x:v>EUR</x:v>
      </x:c>
      <x:c r="F7" s="85" t="str">
        <x:v>2025</x:v>
      </x:c>
      <x:c r="G7" s="85" t="str">
        <x:v>Uradni</x:v>
      </x:c>
      <x:c r="H7" s="85" t="str">
        <x:v>SURS-01</x:v>
      </x:c>
      <x:c r="I7" s="86" t="str">
        <x:v>Ni jedrni ICP; relevantni naročila, identifikacija in servis.</x:v>
      </x:c>
    </x:row>
    <x:row r="8" ht="24" customHeight="1">
      <x:c r="A8" s="84" t="str">
        <x:v>M04</x:v>
      </x:c>
      <x:c r="B8" s="85" t="str">
        <x:v>Slovenija</x:v>
      </x:c>
      <x:c r="C8" s="85" t="str">
        <x:v>Energenti in goriva</x:v>
      </x:c>
      <x:c r="D8" s="91" t="n">
        <x:v>2530000000</x:v>
      </x:c>
      <x:c r="E8" s="85" t="str">
        <x:v>EUR</x:v>
      </x:c>
      <x:c r="F8" s="85" t="str">
        <x:v>2025</x:v>
      </x:c>
      <x:c r="G8" s="85" t="str">
        <x:v>Uradni</x:v>
      </x:c>
      <x:c r="H8" s="85" t="str">
        <x:v>SURS-01</x:v>
      </x:c>
      <x:c r="I8" s="86" t="str">
        <x:v>Ločena vertikala; izven osnovnega obsega.</x:v>
      </x:c>
    </x:row>
    <x:row r="9" ht="24" customHeight="1">
      <x:c r="A9" s="84" t="str">
        <x:v>M05</x:v>
      </x:c>
      <x:c r="B9" s="85" t="str">
        <x:v>Slovenija</x:v>
      </x:c>
      <x:c r="C9" s="85" t="str">
        <x:v>Medicina, farmacija in kozmetika</x:v>
      </x:c>
      <x:c r="D9" s="91" t="n">
        <x:v>1680000000</x:v>
      </x:c>
      <x:c r="E9" s="85" t="str">
        <x:v>EUR</x:v>
      </x:c>
      <x:c r="F9" s="85" t="str">
        <x:v>2025</x:v>
      </x:c>
      <x:c r="G9" s="85" t="str">
        <x:v>Uradni</x:v>
      </x:c>
      <x:c r="H9" s="85" t="str">
        <x:v>SURS-01</x:v>
      </x:c>
      <x:c r="I9" s="86" t="str">
        <x:v>Loti, varnost, sledljivost in več SKU.</x:v>
      </x:c>
    </x:row>
    <x:row r="10" ht="24" customHeight="1">
      <x:c r="A10" s="84" t="str">
        <x:v>M06</x:v>
      </x:c>
      <x:c r="B10" s="85" t="str">
        <x:v>Slovenija</x:v>
      </x:c>
      <x:c r="C10" s="85" t="str">
        <x:v>Oblačila in obutev</x:v>
      </x:c>
      <x:c r="D10" s="91" t="n">
        <x:v>1000000000</x:v>
      </x:c>
      <x:c r="E10" s="85" t="str">
        <x:v>EUR</x:v>
      </x:c>
      <x:c r="F10" s="85" t="str">
        <x:v>2025</x:v>
      </x:c>
      <x:c r="G10" s="85" t="str">
        <x:v>Uradni</x:v>
      </x:c>
      <x:c r="H10" s="85" t="str">
        <x:v>SURS-01</x:v>
      </x:c>
      <x:c r="I10" s="86" t="str">
        <x:v>Variante, sezonskost, markdowni in vračila.</x:v>
      </x:c>
    </x:row>
    <x:row r="11" ht="24" customHeight="1">
      <x:c r="A11" s="84" t="str">
        <x:v>M07</x:v>
      </x:c>
      <x:c r="B11" s="85" t="str">
        <x:v>Slovenija</x:v>
      </x:c>
      <x:c r="C11" s="85" t="str">
        <x:v>Električne naprave</x:v>
      </x:c>
      <x:c r="D11" s="91" t="n">
        <x:v>780000000</x:v>
      </x:c>
      <x:c r="E11" s="85" t="str">
        <x:v>EUR</x:v>
      </x:c>
      <x:c r="F11" s="85" t="str">
        <x:v>2025</x:v>
      </x:c>
      <x:c r="G11" s="85" t="str">
        <x:v>Uradni</x:v>
      </x:c>
      <x:c r="H11" s="85" t="str">
        <x:v>SURS-01</x:v>
      </x:c>
      <x:c r="I11" s="86" t="str">
        <x:v>Serijske številke, garancije in RMA.</x:v>
      </x:c>
    </x:row>
    <x:row r="12" ht="24" customHeight="1">
      <x:c r="A12" s="84" t="str">
        <x:v>M08</x:v>
      </x:c>
      <x:c r="B12" s="85" t="str">
        <x:v>EU</x:v>
      </x:c>
      <x:c r="C12" s="85" t="str">
        <x:v>Internetni uporabniki, ki kupujejo na spletu</x:v>
      </x:c>
      <x:c r="D12" s="133" t="n">
        <x:v>0.78</x:v>
      </x:c>
      <x:c r="E12" s="85" t="str">
        <x:v>%</x:v>
      </x:c>
      <x:c r="F12" s="85" t="str">
        <x:v>2025</x:v>
      </x:c>
      <x:c r="G12" s="85" t="str">
        <x:v>Uradni</x:v>
      </x:c>
      <x:c r="H12" s="85" t="str">
        <x:v>EU-01</x:v>
      </x:c>
      <x:c r="I12" s="86" t="str">
        <x:v>Kontekst kanala; ne slovenska stopnja vračil.</x:v>
      </x:c>
    </x:row>
    <x:row r="13" ht="24" customHeight="1">
      <x:c r="A13" s="84" t="str">
        <x:v>M09</x:v>
      </x:c>
      <x:c r="B13" s="85" t="str">
        <x:v>Slovenija</x:v>
      </x:c>
      <x:c r="C13" s="85" t="str">
        <x:v>Količinski promet maloprodaje – medletna sprememba</x:v>
      </x:c>
      <x:c r="D13" s="133" t="n">
        <x:v>0.019</x:v>
      </x:c>
      <x:c r="E13" s="85" t="str">
        <x:v>%</x:v>
      </x:c>
      <x:c r="F13" s="85" t="str">
        <x:v>H1 2026</x:v>
      </x:c>
      <x:c r="G13" s="85" t="str">
        <x:v>Uradni</x:v>
      </x:c>
      <x:c r="H13" s="85" t="str">
        <x:v>SURS-02</x:v>
      </x:c>
      <x:c r="I13" s="86" t="str">
        <x:v>Makro signal, ne vhod v poslovni primer.</x:v>
      </x:c>
    </x:row>
    <x:row r="14" ht="24" customHeight="1">
      <x:c r="A14" s="84" t="str">
        <x:v>M10</x:v>
      </x:c>
      <x:c r="B14" s="85" t="str">
        <x:v>Slovenija</x:v>
      </x:c>
      <x:c r="C14" s="85" t="str">
        <x:v>Količinski promet živil – medletna sprememba</x:v>
      </x:c>
      <x:c r="D14" s="133" t="n">
        <x:v>-0.009</x:v>
      </x:c>
      <x:c r="E14" s="85" t="str">
        <x:v>%</x:v>
      </x:c>
      <x:c r="F14" s="85" t="str">
        <x:v>H1 2026</x:v>
      </x:c>
      <x:c r="G14" s="85" t="str">
        <x:v>Uradni</x:v>
      </x:c>
      <x:c r="H14" s="85" t="str">
        <x:v>SURS-02</x:v>
      </x:c>
      <x:c r="I14" s="86" t="str">
        <x:v>Makro signal, ne vhod v poslovni primer.</x:v>
      </x:c>
    </x:row>
    <x:row r="15" ht="24" customHeight="1">
      <x:c r="A15" s="84" t="str">
        <x:v>M11</x:v>
      </x:c>
      <x:c r="B15" s="85" t="str">
        <x:v>ZDA</x:v>
      </x:c>
      <x:c r="C15" s="85" t="str">
        <x:v>Spletna stopnja vračil</x:v>
      </x:c>
      <x:c r="D15" s="133" t="n">
        <x:v>0.193</x:v>
      </x:c>
      <x:c r="E15" s="85" t="str">
        <x:v>%</x:v>
      </x:c>
      <x:c r="F15" s="85" t="str">
        <x:v>2025</x:v>
      </x:c>
      <x:c r="G15" s="85" t="str">
        <x:v>Benchmark</x:v>
      </x:c>
      <x:c r="H15" s="85" t="str">
        <x:v>NRF-01</x:v>
      </x:c>
      <x:c r="I15" s="86" t="str">
        <x:v>Uporabi samo kot sanity check; ne kot slovensko privzeto vrednost.</x:v>
      </x:c>
    </x:row>
    <x:row r="16" ht="24" customHeight="1">
      <x:c r="A16" s="87" t="str">
        <x:v>M12</x:v>
      </x:c>
      <x:c r="B16" s="88" t="str">
        <x:v>ZDA</x:v>
      </x:c>
      <x:c r="C16" s="88" t="str">
        <x:v>Povprečni shrink</x:v>
      </x:c>
      <x:c r="D16" s="134" t="n">
        <x:v>0.016</x:v>
      </x:c>
      <x:c r="E16" s="88" t="str">
        <x:v>%</x:v>
      </x:c>
      <x:c r="F16" s="88" t="str">
        <x:v>FY 2022</x:v>
      </x:c>
      <x:c r="G16" s="88" t="str">
        <x:v>Benchmark</x:v>
      </x:c>
      <x:c r="H16" s="88" t="str">
        <x:v>NRF-02</x:v>
      </x:c>
      <x:c r="I16" s="89" t="str">
        <x:v>Uporabi samo kot opozorilo za lastno meritev.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5ff7a28c7a44e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6" hidden="0" customWidth="1"/>
    <x:col min="4" max="4" width="40" hidden="0" customWidth="1"/>
    <x:col min="5" max="5" width="42" hidden="0" customWidth="1"/>
    <x:col min="6" max="6" width="34" hidden="0" customWidth="1"/>
    <x:col min="7" max="7" width="12" hidden="0" customWidth="1"/>
  </x:cols>
  <x:sheetData>
    <x:row r="1" ht="38" customHeight="1">
      <x:c r="A1" s="4" t="str">
        <x:v>Segmentacija maloprodaje</x:v>
      </x:c>
      <x:c r="B1" s="4"/>
      <x:c r="C1" s="4"/>
      <x:c r="D1" s="4"/>
      <x:c r="E1" s="4"/>
      <x:c r="F1" s="4"/>
      <x:c r="G1" s="4"/>
    </x:row>
    <x:row r="2" ht="34" customHeight="1">
      <x:c r="A2" s="52" t="str">
        <x:v>Segmentacija je namenjena kvalifikaciji in izbiri procesa, ne statistični razvrstitvi. Arhetip in lastnost blaga sta pomembnejša od same velikosti podjetja.</x:v>
      </x:c>
      <x:c r="B2" s="52"/>
      <x:c r="C2" s="52"/>
      <x:c r="D2" s="52"/>
      <x:c r="E2" s="52"/>
      <x:c r="F2" s="52"/>
      <x:c r="G2" s="52"/>
    </x:row>
    <x:row r="4" ht="28" customHeight="1">
      <x:c r="A4" s="59" t="str">
        <x:v>ID</x:v>
      </x:c>
      <x:c r="B4" s="60" t="str">
        <x:v>Segment</x:v>
      </x:c>
      <x:c r="C4" s="60" t="str">
        <x:v>Prepoznavni znaki</x:v>
      </x:c>
      <x:c r="D4" s="60" t="str">
        <x:v>Najdražje napake</x:v>
      </x:c>
      <x:c r="E4" s="60" t="str">
        <x:v>Primarni procesni fokus</x:v>
      </x:c>
      <x:c r="F4" s="60" t="str">
        <x:v>Glavna ovira</x:v>
      </x:c>
      <x:c r="G4" s="61" t="str">
        <x:v>Prioriteta</x:v>
      </x:c>
    </x:row>
    <x:row r="5" ht="24" customHeight="1">
      <x:c r="A5" s="81" t="str">
        <x:v>S1</x:v>
      </x:c>
      <x:c r="B5" s="82" t="str">
        <x:v>Ena specializirana trgovina</x:v>
      </x:c>
      <x:c r="C5" s="82" t="str">
        <x:v>1 lokacija, omejena ekipa</x:v>
      </x:c>
      <x:c r="D5" s="82" t="str">
        <x:v>ročno delo, zaloga, zaključki</x:v>
      </x:c>
      <x:c r="E5" s="82" t="str">
        <x:v>POS, zaloga, nabava, osnovni reporti</x:v>
      </x:c>
      <x:c r="F5" s="82" t="str">
        <x:v>lastnik vodi operacije</x:v>
      </x:c>
      <x:c r="G5" s="83" t="str">
        <x:v>H</x:v>
      </x:c>
    </x:row>
    <x:row r="6" ht="24" customHeight="1">
      <x:c r="A6" s="84" t="str">
        <x:v>S2</x:v>
      </x:c>
      <x:c r="B6" s="85" t="str">
        <x:v>Manjša mreža</x:v>
      </x:c>
      <x:c r="C6" s="85" t="str">
        <x:v>2–10 lokacij, centralna nabava/skladišče</x:v>
      </x:c>
      <x:c r="D6" s="85" t="str">
        <x:v>prenosi, cene, zaloge po lokacijah</x:v>
      </x:c>
      <x:c r="E6" s="85" t="str">
        <x:v>enotna baza, ceniki, transferji, inventure</x:v>
      </x:c>
      <x:c r="F6" s="85" t="str">
        <x:v>različna praksa po poslovalnicah</x:v>
      </x:c>
      <x:c r="G6" s="86" t="str">
        <x:v>H</x:v>
      </x:c>
    </x:row>
    <x:row r="7" ht="24" customHeight="1">
      <x:c r="A7" s="84" t="str">
        <x:v>S3</x:v>
      </x:c>
      <x:c r="B7" s="85" t="str">
        <x:v>Večlokacijska veriga</x:v>
      </x:c>
      <x:c r="C7" s="85" t="str">
        <x:v>veliko blagajn in SKU</x:v>
      </x:c>
      <x:c r="D7" s="85" t="str">
        <x:v>podatkovna disciplina, rollout, izjeme</x:v>
      </x:c>
      <x:c r="E7" s="85" t="str">
        <x:v>master data, pravice, integracije, BI</x:v>
      </x:c>
      <x:c r="F7" s="85" t="str">
        <x:v>lokalne izjeme in kompleksnost</x:v>
      </x:c>
      <x:c r="G7" s="86" t="str">
        <x:v>M</x:v>
      </x:c>
    </x:row>
    <x:row r="8" ht="24" customHeight="1">
      <x:c r="A8" s="84" t="str">
        <x:v>S4</x:v>
      </x:c>
      <x:c r="B8" s="85" t="str">
        <x:v>Omnichannel trgovec</x:v>
      </x:c>
      <x:c r="C8" s="85" t="str">
        <x:v>fizična prodaja + splet + prevzem/vračilo</x:v>
      </x:c>
      <x:c r="D8" s="85" t="str">
        <x:v>oversell, cene, fulfilment, vračila</x:v>
      </x:c>
      <x:c r="E8" s="85" t="str">
        <x:v>sinhronizacija, naročila, integracija e-trgovine</x:v>
      </x:c>
      <x:c r="F8" s="85" t="str">
        <x:v>lastnik integracije</x:v>
      </x:c>
      <x:c r="G8" s="86" t="str">
        <x:v>H</x:v>
      </x:c>
    </x:row>
    <x:row r="9" ht="24" customHeight="1">
      <x:c r="A9" s="84" t="str">
        <x:v>S5</x:v>
      </x:c>
      <x:c r="B9" s="85" t="str">
        <x:v>Uvoznik/zasebna znamka</x:v>
      </x:c>
      <x:c r="C9" s="85" t="str">
        <x:v>nabava v tujini, lastna cena in zaloga</x:v>
      </x:c>
      <x:c r="D9" s="85" t="str">
        <x:v>dobavni roki, dokumenti, valuta</x:v>
      </x:c>
      <x:c r="E9" s="85" t="str">
        <x:v>nabava, artikli, sledljivost, finance</x:v>
      </x:c>
      <x:c r="F9" s="85" t="str">
        <x:v>carine in specialistična skladnost</x:v>
      </x:c>
      <x:c r="G9" s="86" t="str">
        <x:v>H</x:v>
      </x:c>
    </x:row>
    <x:row r="10" ht="24" customHeight="1">
      <x:c r="A10" s="84" t="str">
        <x:v>S6</x:v>
      </x:c>
      <x:c r="B10" s="85" t="str">
        <x:v>Hitroobrnljivo/pokvarljivo blago</x:v>
      </x:c>
      <x:c r="C10" s="85" t="str">
        <x:v>roki, loti, pogoste dobave</x:v>
      </x:c>
      <x:c r="D10" s="85" t="str">
        <x:v>potek roka, odpoklic, odpisi</x:v>
      </x:c>
      <x:c r="E10" s="85" t="str">
        <x:v>sledenje, skeniranje, cene za odprodajo</x:v>
      </x:c>
      <x:c r="F10" s="85" t="str">
        <x:v>dokaz funkcionalnosti po točkah toka</x:v>
      </x:c>
      <x:c r="G10" s="86" t="str">
        <x:v>M</x:v>
      </x:c>
    </x:row>
    <x:row r="11" ht="24" customHeight="1">
      <x:c r="A11" s="84" t="str">
        <x:v>S7</x:v>
      </x:c>
      <x:c r="B11" s="85" t="str">
        <x:v>Regulirano/visokovredno blago</x:v>
      </x:c>
      <x:c r="C11" s="85" t="str">
        <x:v>serijske številke, garancije, dokazila</x:v>
      </x:c>
      <x:c r="D11" s="85" t="str">
        <x:v>reklamacije, kraja, zahtevki</x:v>
      </x:c>
      <x:c r="E11" s="85" t="str">
        <x:v>serializacija, servis, dokumenti</x:v>
      </x:c>
      <x:c r="F11" s="85" t="str">
        <x:v>fizična kraja ni ERP problem</x:v>
      </x:c>
      <x:c r="G11" s="86" t="str">
        <x:v>M</x:v>
      </x:c>
    </x:row>
    <x:row r="12" ht="24" customHeight="1">
      <x:c r="A12" s="87" t="str">
        <x:v>S8</x:v>
      </x:c>
      <x:c r="B12" s="88" t="str">
        <x:v>Franšiza, komisija ali hibrid B2B/B2C</x:v>
      </x:c>
      <x:c r="C12" s="88" t="str">
        <x:v>mešano lastništvo zaloge</x:v>
      </x:c>
      <x:c r="D12" s="88" t="str">
        <x:v>obračuni, rabati, poročanje</x:v>
      </x:c>
      <x:c r="E12" s="88" t="str">
        <x:v>ločeno lastništvo, ceniki, dokumenti</x:v>
      </x:c>
      <x:c r="F12" s="88" t="str">
        <x:v>posebna poslovna pravila</x:v>
      </x:c>
      <x:c r="G12" s="89" t="str">
        <x:v>M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023f604f73d49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12" hidden="0" customWidth="1"/>
    <x:col min="4" max="4" width="36" hidden="0" customWidth="1"/>
    <x:col min="5" max="5" width="12" hidden="0" customWidth="1"/>
    <x:col min="6" max="6" width="38" hidden="0" customWidth="1"/>
    <x:col min="7" max="7" width="40" hidden="0" customWidth="1"/>
  </x:cols>
  <x:sheetData>
    <x:row r="1" ht="38" customHeight="1">
      <x:c r="A1" s="4" t="str">
        <x:v>Operativni arhetipi</x:v>
      </x:c>
      <x:c r="B1" s="4"/>
      <x:c r="C1" s="4"/>
      <x:c r="D1" s="4"/>
      <x:c r="E1" s="4"/>
      <x:c r="F1" s="4"/>
      <x:c r="G1" s="4"/>
    </x:row>
    <x:row r="2" ht="34" customHeight="1">
      <x:c r="A2" s="52" t="str">
        <x:v>Arhetip dopolnjuje segment. Ocenjuje trenutno vedenje, zrelost in najprimernejšo prvo potezo v prodajnem pogovoru.</x:v>
      </x:c>
      <x:c r="B2" s="52"/>
      <x:c r="C2" s="52"/>
      <x:c r="D2" s="52"/>
      <x:c r="E2" s="52"/>
      <x:c r="F2" s="52"/>
      <x:c r="G2" s="52"/>
    </x:row>
    <x:row r="4" ht="28" customHeight="1">
      <x:c r="A4" s="59" t="str">
        <x:v>ID</x:v>
      </x:c>
      <x:c r="B4" s="60" t="str">
        <x:v>Arhetip</x:v>
      </x:c>
      <x:c r="C4" s="60" t="str">
        <x:v>Lokacije</x:v>
      </x:c>
      <x:c r="D4" s="60" t="str">
        <x:v>Sistemski signal</x:v>
      </x:c>
      <x:c r="E4" s="60" t="str">
        <x:v>Zrelost</x:v>
      </x:c>
      <x:c r="F4" s="60" t="str">
        <x:v>Naslednji korak</x:v>
      </x:c>
      <x:c r="G4" s="61" t="str">
        <x:v>Ključno tveganje</x:v>
      </x:c>
    </x:row>
    <x:row r="5" ht="24" customHeight="1">
      <x:c r="A5" s="81" t="str">
        <x:v>A1</x:v>
      </x:c>
      <x:c r="B5" s="82" t="str">
        <x:v>Lastniško vodena ena lokacija</x:v>
      </x:c>
      <x:c r="C5" s="82" t="str">
        <x:v>1</x:v>
      </x:c>
      <x:c r="D5" s="82" t="str">
        <x:v>POS + Excel ali ločene evidence</x:v>
      </x:c>
      <x:c r="E5" s="82" t="str">
        <x:v>0–1</x:v>
      </x:c>
      <x:c r="F5" s="82" t="str">
        <x:v>enoten artikel–prevzem–prodaja</x:v>
      </x:c>
      <x:c r="G5" s="83" t="str">
        <x:v>nizek obseg ali samo preprosta blagajna</x:v>
      </x:c>
    </x:row>
    <x:row r="6" ht="24" customHeight="1">
      <x:c r="A6" s="84" t="str">
        <x:v>A2</x:v>
      </x:c>
      <x:c r="B6" s="85" t="str">
        <x:v>Rastoča lokalna mreža</x:v>
      </x:c>
      <x:c r="C6" s="85" t="str">
        <x:v>2–5</x:v>
      </x:c>
      <x:c r="D6" s="85" t="str">
        <x:v>ročni prenosi in nedosledna zaloga</x:v>
      </x:c>
      <x:c r="E6" s="85" t="str">
        <x:v>1–2</x:v>
      </x:c>
      <x:c r="F6" s="85" t="str">
        <x:v>skupna baza, ceniki, inventura</x:v>
      </x:c>
      <x:c r="G6" s="86" t="str">
        <x:v>master data in discipline</x:v>
      </x:c>
    </x:row>
    <x:row r="7" ht="24" customHeight="1">
      <x:c r="A7" s="84" t="str">
        <x:v>A3</x:v>
      </x:c>
      <x:c r="B7" s="85" t="str">
        <x:v>Operativna trgovska mreža</x:v>
      </x:c>
      <x:c r="C7" s="85" t="str">
        <x:v>6–15</x:v>
      </x:c>
      <x:c r="D7" s="85" t="str">
        <x:v>centralna nabava, več blagajn</x:v>
      </x:c>
      <x:c r="E7" s="85" t="str">
        <x:v>2</x:v>
      </x:c>
      <x:c r="F7" s="85" t="str">
        <x:v>nabava, prenos, pravice, poročila</x:v>
      </x:c>
      <x:c r="G7" s="86" t="str">
        <x:v>različni procesi po lokacijah</x:v>
      </x:c>
    </x:row>
    <x:row r="8" ht="24" customHeight="1">
      <x:c r="A8" s="84" t="str">
        <x:v>A4</x:v>
      </x:c>
      <x:c r="B8" s="85" t="str">
        <x:v>Omnichannel operator</x:v>
      </x:c>
      <x:c r="C8" s="85" t="str">
        <x:v>1–20</x:v>
      </x:c>
      <x:c r="D8" s="85" t="str">
        <x:v>spletna trgovina + fizična prodaja</x:v>
      </x:c>
      <x:c r="E8" s="85" t="str">
        <x:v>2–3</x:v>
      </x:c>
      <x:c r="F8" s="85" t="str">
        <x:v>sistem resnice in integracije</x:v>
      </x:c>
      <x:c r="G8" s="86" t="str">
        <x:v>oversell in podvojeni tokovi</x:v>
      </x:c>
    </x:row>
    <x:row r="9" ht="24" customHeight="1">
      <x:c r="A9" s="84" t="str">
        <x:v>A5</x:v>
      </x:c>
      <x:c r="B9" s="85" t="str">
        <x:v>Uvoznik/lastna znamka</x:v>
      </x:c>
      <x:c r="C9" s="85" t="str">
        <x:v>različno</x:v>
      </x:c>
      <x:c r="D9" s="85" t="str">
        <x:v>nabava, cenik, zaloga, B2B/B2C</x:v>
      </x:c>
      <x:c r="E9" s="85" t="str">
        <x:v>2–3</x:v>
      </x:c>
      <x:c r="F9" s="85" t="str">
        <x:v>dobavitelj–prevzem–cena–marža</x:v>
      </x:c>
      <x:c r="G9" s="86" t="str">
        <x:v>sledenje in dokumenti</x:v>
      </x:c>
    </x:row>
    <x:row r="10" ht="24" customHeight="1">
      <x:c r="A10" s="84" t="str">
        <x:v>A6</x:v>
      </x:c>
      <x:c r="B10" s="85" t="str">
        <x:v>Sledljivostno zahteven trgovec</x:v>
      </x:c>
      <x:c r="C10" s="85" t="str">
        <x:v>različno</x:v>
      </x:c>
      <x:c r="D10" s="85" t="str">
        <x:v>loti, rok ali serije</x:v>
      </x:c>
      <x:c r="E10" s="85" t="str">
        <x:v>1–3</x:v>
      </x:c>
      <x:c r="F10" s="85" t="str">
        <x:v>točka zajema atributa in odpoklic</x:v>
      </x:c>
      <x:c r="G10" s="86" t="str">
        <x:v>nepotrjen FEFO/serial scope</x:v>
      </x:c>
    </x:row>
    <x:row r="11" ht="24" customHeight="1">
      <x:c r="A11" s="84" t="str">
        <x:v>A7</x:v>
      </x:c>
      <x:c r="B11" s="85" t="str">
        <x:v>Specialist z garancijami/servisom</x:v>
      </x:c>
      <x:c r="C11" s="85" t="str">
        <x:v>različno</x:v>
      </x:c>
      <x:c r="D11" s="85" t="str">
        <x:v>serije, račun, reklamacija</x:v>
      </x:c>
      <x:c r="E11" s="85" t="str">
        <x:v>2–3</x:v>
      </x:c>
      <x:c r="F11" s="85" t="str">
        <x:v>servisni tok in dokazilo</x:v>
      </x:c>
      <x:c r="G11" s="86" t="str">
        <x:v>partner za specialistični servis</x:v>
      </x:c>
    </x:row>
    <x:row r="12" ht="24" customHeight="1">
      <x:c r="A12" s="87" t="str">
        <x:v>A8</x:v>
      </x:c>
      <x:c r="B12" s="88" t="str">
        <x:v>Komisijski/franšizni hibrid</x:v>
      </x:c>
      <x:c r="C12" s="88" t="str">
        <x:v>različno</x:v>
      </x:c>
      <x:c r="D12" s="88" t="str">
        <x:v>ločeno lastništvo, posebni obračuni</x:v>
      </x:c>
      <x:c r="E12" s="88" t="str">
        <x:v>2–3</x:v>
      </x:c>
      <x:c r="F12" s="88" t="str">
        <x:v>pravila lastništva in poročanja</x:v>
      </x:c>
      <x:c r="G12" s="89" t="str">
        <x:v>custom poslovna pravila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0b6a5a897fc42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45" hidden="0" customWidth="1"/>
    <x:col min="4" max="4" width="43" hidden="0" customWidth="1"/>
    <x:col min="5" max="5" width="36" hidden="0" customWidth="1"/>
    <x:col min="6" max="6" width="20" hidden="0" customWidth="1"/>
  </x:cols>
  <x:sheetData>
    <x:row r="1" ht="38" customHeight="1">
      <x:c r="A1" s="4" t="str">
        <x:v>Operativni procesni zemljevid</x:v>
      </x:c>
      <x:c r="B1" s="4"/>
      <x:c r="C1" s="4"/>
      <x:c r="D1" s="4"/>
      <x:c r="E1" s="4"/>
      <x:c r="F1" s="4"/>
    </x:row>
    <x:row r="2" ht="34" customHeight="1">
      <x:c r="A2" s="52" t="str">
        <x:v>Vsak proces je zapisan kot tok, tveganje, meritev in realna naslovljivost. Sistem ne sme dobiti celotne zasluge za izgubo, ki ima zunanji vzrok.</x:v>
      </x:c>
      <x:c r="B2" s="52"/>
      <x:c r="C2" s="52"/>
      <x:c r="D2" s="52"/>
      <x:c r="E2" s="52"/>
      <x:c r="F2" s="52"/>
    </x:row>
    <x:row r="4" ht="28" customHeight="1">
      <x:c r="A4" s="59" t="str">
        <x:v>ID</x:v>
      </x:c>
      <x:c r="B4" s="60" t="str">
        <x:v>Proces</x:v>
      </x:c>
      <x:c r="C4" s="60" t="str">
        <x:v>Jedrni tok</x:v>
      </x:c>
      <x:c r="D4" s="60" t="str">
        <x:v>Tipična izguba</x:v>
      </x:c>
      <x:c r="E4" s="60" t="str">
        <x:v>Kaj meriti</x:v>
      </x:c>
      <x:c r="F4" s="61" t="str">
        <x:v>Naslovljivost</x:v>
      </x:c>
    </x:row>
    <x:row r="5" ht="24" customHeight="1">
      <x:c r="A5" s="81" t="str">
        <x:v>P01</x:v>
      </x:c>
      <x:c r="B5" s="82" t="str">
        <x:v>Asortiment in master data</x:v>
      </x:c>
      <x:c r="C5" s="82" t="str">
        <x:v>artikel, EAN/GTIN, varianta, enota, DDV, dobavitelj, cenik</x:v>
      </x:c>
      <x:c r="D5" s="82" t="str">
        <x:v>napake se razmnožijo v POS, spletu in financah</x:v>
      </x:c>
      <x:c r="E5" s="82" t="str">
        <x:v>čas aktivacije, popravki, podvojeni SKU</x:v>
      </x:c>
      <x:c r="F5" s="83" t="str">
        <x:v>visoka</x:v>
      </x:c>
    </x:row>
    <x:row r="6" ht="24" customHeight="1">
      <x:c r="A6" s="84" t="str">
        <x:v>P02</x:v>
      </x:c>
      <x:c r="B6" s="85" t="str">
        <x:v>Nabava in dobavitelji</x:v>
      </x:c>
      <x:c r="C6" s="85" t="str">
        <x:v>plan potreb → naročilo → potrditev → prevzem → račun</x:v>
      </x:c>
      <x:c r="D6" s="85" t="str">
        <x:v>ekspresne dobave, rabati, napačne nabavne cene</x:v>
      </x:c>
      <x:c r="E6" s="85" t="str">
        <x:v>OTIF, naročila, razlike, rabati</x:v>
      </x:c>
      <x:c r="F6" s="86" t="str">
        <x:v>srednja–visoka</x:v>
      </x:c>
    </x:row>
    <x:row r="7" ht="24" customHeight="1">
      <x:c r="A7" s="84" t="str">
        <x:v>P03</x:v>
      </x:c>
      <x:c r="B7" s="85" t="str">
        <x:v>Prevzem in skladišče</x:v>
      </x:c>
      <x:c r="C7" s="85" t="str">
        <x:v>fizični prevzem, kontrola, označevanje, uskladitev dokumenta</x:v>
      </x:c>
      <x:c r="D7" s="85" t="str">
        <x:v>razlike, nepravočasno stanje, napake lokacije</x:v>
      </x:c>
      <x:c r="E7" s="85" t="str">
        <x:v>dobave, postavke, minute/postavko</x:v>
      </x:c>
      <x:c r="F7" s="86" t="str">
        <x:v>visoka</x:v>
      </x:c>
    </x:row>
    <x:row r="8" ht="24" customHeight="1">
      <x:c r="A8" s="84" t="str">
        <x:v>P04</x:v>
      </x:c>
      <x:c r="B8" s="85" t="str">
        <x:v>Prenosi in sledljivost</x:v>
      </x:c>
      <x:c r="C8" s="85" t="str">
        <x:v>prenos lokacija–lokacija, serija/lot/rok</x:v>
      </x:c>
      <x:c r="D8" s="85" t="str">
        <x:v>izgube pri prenosu, širok odpoklic</x:v>
      </x:c>
      <x:c r="E8" s="85" t="str">
        <x:v>prenosi, ročni popravki, čas iskanja</x:v>
      </x:c>
      <x:c r="F8" s="86" t="str">
        <x:v>visoka</x:v>
      </x:c>
    </x:row>
    <x:row r="9" ht="24" customHeight="1">
      <x:c r="A9" s="84" t="str">
        <x:v>P05</x:v>
      </x:c>
      <x:c r="B9" s="85" t="str">
        <x:v>Razpoložljivost in replenishment</x:v>
      </x:c>
      <x:c r="C9" s="85" t="str">
        <x:v>minimalna/optimalna zaloga, dopolnjevanje police</x:v>
      </x:c>
      <x:c r="D9" s="85" t="str">
        <x:v>stockout, ekspresna dobava, izgubljena marža</x:v>
      </x:c>
      <x:c r="E9" s="85" t="str">
        <x:v>stockout, substitution, lead time</x:v>
      </x:c>
      <x:c r="F9" s="86" t="str">
        <x:v>srednja–visoka</x:v>
      </x:c>
    </x:row>
    <x:row r="10" ht="24" customHeight="1">
      <x:c r="A10" s="84" t="str">
        <x:v>P06</x:v>
      </x:c>
      <x:c r="B10" s="85" t="str">
        <x:v>Cene, akcije in marže</x:v>
      </x:c>
      <x:c r="C10" s="85" t="str">
        <x:v>cenik, promocija, popust, veljavnost</x:v>
      </x:c>
      <x:c r="D10" s="85" t="str">
        <x:v>prenizka cena, neusklajen kanal, slaba marža</x:v>
      </x:c>
      <x:c r="E10" s="85" t="str">
        <x:v>napake cen, markdown, čas etiket</x:v>
      </x:c>
      <x:c r="F10" s="86" t="str">
        <x:v>visoka</x:v>
      </x:c>
    </x:row>
    <x:row r="11" ht="24" customHeight="1">
      <x:c r="A11" s="84" t="str">
        <x:v>P07</x:v>
      </x:c>
      <x:c r="B11" s="85" t="str">
        <x:v>POS, zaključki in plačila</x:v>
      </x:c>
      <x:c r="C11" s="85" t="str">
        <x:v>prodaja, stornacije, popusti, zaključek</x:v>
      </x:c>
      <x:c r="D11" s="85" t="str">
        <x:v>čas zaključka, razlike gotovina/kartice, izpad</x:v>
      </x:c>
      <x:c r="E11" s="85" t="str">
        <x:v>transakcije, minute zaključka, razlike</x:v>
      </x:c>
      <x:c r="F11" s="86" t="str">
        <x:v>visoka</x:v>
      </x:c>
    </x:row>
    <x:row r="12" ht="24" customHeight="1">
      <x:c r="A12" s="84" t="str">
        <x:v>P08</x:v>
      </x:c>
      <x:c r="B12" s="85" t="str">
        <x:v>Inventura in shrink</x:v>
      </x:c>
      <x:c r="C12" s="85" t="str">
        <x:v>ciklična/letna inventura, viški, manjki, vzroki</x:v>
      </x:c>
      <x:c r="D12" s="85" t="str">
        <x:v>manko, zaprtje lokacije, nezaupanje zalogi</x:v>
      </x:c>
      <x:c r="E12" s="85" t="str">
        <x:v>manko, točnost, ročni popravki</x:v>
      </x:c>
      <x:c r="F12" s="86" t="str">
        <x:v>srednja</x:v>
      </x:c>
    </x:row>
    <x:row r="13" ht="24" customHeight="1">
      <x:c r="A13" s="84" t="str">
        <x:v>P09</x:v>
      </x:c>
      <x:c r="B13" s="85" t="str">
        <x:v>Spletna prodaja in fulfilment</x:v>
      </x:c>
      <x:c r="C13" s="85" t="str">
        <x:v>naročilo → rezervacija → picking → packing → dostava</x:v>
      </x:c>
      <x:c r="D13" s="85" t="str">
        <x:v>oversell, ročni vnos, napačen picking</x:v>
      </x:c>
      <x:c r="E13" s="85" t="str">
        <x:v>naročila, odpovedi, picking accuracy</x:v>
      </x:c>
      <x:c r="F13" s="86" t="str">
        <x:v>srednja; integracija</x:v>
      </x:c>
    </x:row>
    <x:row r="14" ht="24" customHeight="1">
      <x:c r="A14" s="84" t="str">
        <x:v>P10</x:v>
      </x:c>
      <x:c r="B14" s="85" t="str">
        <x:v>Vračila, reklamacije in servis</x:v>
      </x:c>
      <x:c r="C14" s="85" t="str">
        <x:v>vračilo/dobropis/reklamacija/garancija</x:v>
      </x:c>
      <x:c r="D14" s="85" t="str">
        <x:v>neviden strošek, manjkajoč račun/serija</x:v>
      </x:c>
      <x:c r="E14" s="85" t="str">
        <x:v>stopnja vračil, čas primera, zahtevki</x:v>
      </x:c>
      <x:c r="F14" s="86" t="str">
        <x:v>srednja</x:v>
      </x:c>
    </x:row>
    <x:row r="15" ht="24" customHeight="1">
      <x:c r="A15" s="84" t="str">
        <x:v>P11</x:v>
      </x:c>
      <x:c r="B15" s="85" t="str">
        <x:v>Dokumenti, finance in e-poslovanje</x:v>
      </x:c>
      <x:c r="C15" s="85" t="str">
        <x:v>e-račun, račun, knjiženje, plačilo, arhiv</x:v>
      </x:c>
      <x:c r="D15" s="85" t="str">
        <x:v>ročno prepisovanje, napake, skonti</x:v>
      </x:c>
      <x:c r="E15" s="85" t="str">
        <x:v>strukturirani dokumenti, ročni vnosi</x:v>
      </x:c>
      <x:c r="F15" s="86" t="str">
        <x:v>visoka</x:v>
      </x:c>
    </x:row>
    <x:row r="16" ht="24" customHeight="1">
      <x:c r="A16" s="87" t="str">
        <x:v>P12</x:v>
      </x:c>
      <x:c r="B16" s="88" t="str">
        <x:v>Analitika in upravljanje</x:v>
      </x:c>
      <x:c r="C16" s="88" t="str">
        <x:v>KPI, poročilo, akcija, kontrola</x:v>
      </x:c>
      <x:c r="D16" s="88" t="str">
        <x:v>Excel usklajevanje in počasne odločitve</x:v>
      </x:c>
      <x:c r="E16" s="88" t="str">
        <x:v>čas reporta, usklajevanje, definicije</x:v>
      </x:c>
      <x:c r="F16" s="89" t="str">
        <x:v>visoka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331c91d65e544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32" hidden="0" customWidth="1"/>
    <x:col min="4" max="4" width="48" hidden="0" customWidth="1"/>
    <x:col min="5" max="5" width="45" hidden="0" customWidth="1"/>
  </x:cols>
  <x:sheetData>
    <x:row r="1" ht="38" customHeight="1">
      <x:c r="A1" s="4" t="str">
        <x:v>Kritični podprocesi</x:v>
      </x:c>
      <x:c r="B1" s="4"/>
      <x:c r="C1" s="4"/>
      <x:c r="D1" s="4"/>
      <x:c r="E1" s="4"/>
    </x:row>
    <x:row r="2" ht="34" customHeight="1">
      <x:c r="A2" s="52" t="str">
        <x:v>Podprocesi določajo, kje se mora zajeti podatek in kje naj se preveri izjemni tok pred pilotom oziroma rolloutom.</x:v>
      </x:c>
      <x:c r="B2" s="52"/>
      <x:c r="C2" s="52"/>
      <x:c r="D2" s="52"/>
      <x:c r="E2" s="52"/>
    </x:row>
    <x:row r="4" ht="28" customHeight="1">
      <x:c r="A4" s="59" t="str">
        <x:v>ID</x:v>
      </x:c>
      <x:c r="B4" s="60" t="str">
        <x:v>Proces</x:v>
      </x:c>
      <x:c r="C4" s="60" t="str">
        <x:v>Podproces</x:v>
      </x:c>
      <x:c r="D4" s="60" t="str">
        <x:v>Ključni podatki</x:v>
      </x:c>
      <x:c r="E4" s="61" t="str">
        <x:v>Tipično tveganje</x:v>
      </x:c>
    </x:row>
    <x:row r="5" ht="24" customHeight="1">
      <x:c r="A5" s="81" t="str">
        <x:v>SP01</x:v>
      </x:c>
      <x:c r="B5" s="82" t="str">
        <x:v>P01</x:v>
      </x:c>
      <x:c r="C5" s="82" t="str">
        <x:v>Ustvarjanje artikla</x:v>
      </x:c>
      <x:c r="D5" s="82" t="str">
        <x:v>šifra, EAN, enota, DDV, kategorija</x:v>
      </x:c>
      <x:c r="E5" s="83" t="str">
        <x:v>podvojeni artikli in napačna enota</x:v>
      </x:c>
    </x:row>
    <x:row r="6" ht="24" customHeight="1">
      <x:c r="A6" s="84" t="str">
        <x:v>SP02</x:v>
      </x:c>
      <x:c r="B6" s="85" t="str">
        <x:v>P01</x:v>
      </x:c>
      <x:c r="C6" s="85" t="str">
        <x:v>Vzdrževanje variant</x:v>
      </x:c>
      <x:c r="D6" s="85" t="str">
        <x:v>barva, velikost, model, lot, rok, teža</x:v>
      </x:c>
      <x:c r="E6" s="86" t="str">
        <x:v>manjkajoča varianta ali atribut</x:v>
      </x:c>
    </x:row>
    <x:row r="7" ht="24" customHeight="1">
      <x:c r="A7" s="84" t="str">
        <x:v>SP03</x:v>
      </x:c>
      <x:c r="B7" s="85" t="str">
        <x:v>P02</x:v>
      </x:c>
      <x:c r="C7" s="85" t="str">
        <x:v>Predlog naročila</x:v>
      </x:c>
      <x:c r="D7" s="85" t="str">
        <x:v>prodaja, min/max/optimalna zaloga, dobavni rok</x:v>
      </x:c>
      <x:c r="E7" s="86" t="str">
        <x:v>naročanje po občutku</x:v>
      </x:c>
    </x:row>
    <x:row r="8" ht="24" customHeight="1">
      <x:c r="A8" s="84" t="str">
        <x:v>SP04</x:v>
      </x:c>
      <x:c r="B8" s="85" t="str">
        <x:v>P02</x:v>
      </x:c>
      <x:c r="C8" s="85" t="str">
        <x:v>Uskladitev dobave in računa</x:v>
      </x:c>
      <x:c r="D8" s="85" t="str">
        <x:v>naročilo, dobavnica, račun, rabat</x:v>
      </x:c>
      <x:c r="E8" s="86" t="str">
        <x:v>razlika brez odgovorne osebe</x:v>
      </x:c>
    </x:row>
    <x:row r="9" ht="24" customHeight="1">
      <x:c r="A9" s="84" t="str">
        <x:v>SP05</x:v>
      </x:c>
      <x:c r="B9" s="85" t="str">
        <x:v>P03</x:v>
      </x:c>
      <x:c r="C9" s="85" t="str">
        <x:v>Prevzem dobave</x:v>
      </x:c>
      <x:c r="D9" s="85" t="str">
        <x:v>količina, kakovost, črtna koda, dokument</x:v>
      </x:c>
      <x:c r="E9" s="86" t="str">
        <x:v>stanje zaloge ni pravočasno</x:v>
      </x:c>
    </x:row>
    <x:row r="10" ht="24" customHeight="1">
      <x:c r="A10" s="84" t="str">
        <x:v>SP06</x:v>
      </x:c>
      <x:c r="B10" s="85" t="str">
        <x:v>P03</x:v>
      </x:c>
      <x:c r="C10" s="85" t="str">
        <x:v>Označevanje in lokacija</x:v>
      </x:c>
      <x:c r="D10" s="85" t="str">
        <x:v>polica, bin, status, lastništvo</x:v>
      </x:c>
      <x:c r="E10" s="86" t="str">
        <x:v>artikel se fizično ne najde</x:v>
      </x:c>
    </x:row>
    <x:row r="11" ht="24" customHeight="1">
      <x:c r="A11" s="84" t="str">
        <x:v>SP07</x:v>
      </x:c>
      <x:c r="B11" s="85" t="str">
        <x:v>P04</x:v>
      </x:c>
      <x:c r="C11" s="85" t="str">
        <x:v>Prenos med lokacijami</x:v>
      </x:c>
      <x:c r="D11" s="85" t="str">
        <x:v>izvor, cilj, odgovornost, čas, dokaz</x:v>
      </x:c>
      <x:c r="E11" s="86" t="str">
        <x:v>neznan položaj blaga</x:v>
      </x:c>
    </x:row>
    <x:row r="12" ht="24" customHeight="1">
      <x:c r="A12" s="84" t="str">
        <x:v>SP08</x:v>
      </x:c>
      <x:c r="B12" s="85" t="str">
        <x:v>P04</x:v>
      </x:c>
      <x:c r="C12" s="85" t="str">
        <x:v>Odpoklic in sledljivost</x:v>
      </x:c>
      <x:c r="D12" s="85" t="str">
        <x:v>lot/serija/rok skozi prevzem–prodajo–vračilo</x:v>
      </x:c>
      <x:c r="E12" s="86" t="str">
        <x:v>preširok ali počasen odpoklic</x:v>
      </x:c>
    </x:row>
    <x:row r="13" ht="24" customHeight="1">
      <x:c r="A13" s="84" t="str">
        <x:v>SP09</x:v>
      </x:c>
      <x:c r="B13" s="85" t="str">
        <x:v>P05</x:v>
      </x:c>
      <x:c r="C13" s="85" t="str">
        <x:v>Dopolnjevanje police</x:v>
      </x:c>
      <x:c r="D13" s="85" t="str">
        <x:v>signal potrebe, količina, lokacija, prioriteta</x:v>
      </x:c>
      <x:c r="E13" s="86" t="str">
        <x:v>prazna polica ob zalogi v skladišču</x:v>
      </x:c>
    </x:row>
    <x:row r="14" ht="24" customHeight="1">
      <x:c r="A14" s="84" t="str">
        <x:v>SP10</x:v>
      </x:c>
      <x:c r="B14" s="85" t="str">
        <x:v>P06</x:v>
      </x:c>
      <x:c r="C14" s="85" t="str">
        <x:v>Aktivacija cenika</x:v>
      </x:c>
      <x:c r="D14" s="85" t="str">
        <x:v>kanal, lokacija, začetek/konec, promocija</x:v>
      </x:c>
      <x:c r="E14" s="86" t="str">
        <x:v>cena ni usklajena na POS/spletu</x:v>
      </x:c>
    </x:row>
    <x:row r="15" ht="24" customHeight="1">
      <x:c r="A15" s="84" t="str">
        <x:v>SP11</x:v>
      </x:c>
      <x:c r="B15" s="85" t="str">
        <x:v>P06</x:v>
      </x:c>
      <x:c r="C15" s="85" t="str">
        <x:v>Markdown</x:v>
      </x:c>
      <x:c r="D15" s="85" t="str">
        <x:v>prejšnja cena, razlog, obdobje, financiranje akcije</x:v>
      </x:c>
      <x:c r="E15" s="86" t="str">
        <x:v>marža in regulatorna sled nista vidni</x:v>
      </x:c>
    </x:row>
    <x:row r="16" ht="24" customHeight="1">
      <x:c r="A16" s="84" t="str">
        <x:v>SP12</x:v>
      </x:c>
      <x:c r="B16" s="85" t="str">
        <x:v>P07</x:v>
      </x:c>
      <x:c r="C16" s="85" t="str">
        <x:v>Zaključek blagajne</x:v>
      </x:c>
      <x:c r="D16" s="85" t="str">
        <x:v>gotovina, kartice, boni, stornacije, poročilo</x:v>
      </x:c>
      <x:c r="E16" s="86" t="str">
        <x:v>dolgi zaključki ali razlike</x:v>
      </x:c>
    </x:row>
    <x:row r="17" ht="24" customHeight="1">
      <x:c r="A17" s="84" t="str">
        <x:v>SP13</x:v>
      </x:c>
      <x:c r="B17" s="85" t="str">
        <x:v>P07</x:v>
      </x:c>
      <x:c r="C17" s="85" t="str">
        <x:v>Izpad povezave</x:v>
      </x:c>
      <x:c r="D17" s="85" t="str">
        <x:v>offline scenarij, davčno potrjevanje, recovery</x:v>
      </x:c>
      <x:c r="E17" s="86" t="str">
        <x:v>prodaja se ustavi</x:v>
      </x:c>
    </x:row>
    <x:row r="18" ht="24" customHeight="1">
      <x:c r="A18" s="84" t="str">
        <x:v>SP14</x:v>
      </x:c>
      <x:c r="B18" s="85" t="str">
        <x:v>P08</x:v>
      </x:c>
      <x:c r="C18" s="85" t="str">
        <x:v>Ciklična inventura</x:v>
      </x:c>
      <x:c r="D18" s="85" t="str">
        <x:v>skeniranje, knjiga vs. fizično, vzrok</x:v>
      </x:c>
      <x:c r="E18" s="86" t="str">
        <x:v>dolgo zaprtje in ročni vnos</x:v>
      </x:c>
    </x:row>
    <x:row r="19" ht="24" customHeight="1">
      <x:c r="A19" s="84" t="str">
        <x:v>SP15</x:v>
      </x:c>
      <x:c r="B19" s="85" t="str">
        <x:v>P09</x:v>
      </x:c>
      <x:c r="C19" s="85" t="str">
        <x:v>Rezervacija spletnega naročila</x:v>
      </x:c>
      <x:c r="D19" s="85" t="str">
        <x:v>zaloga, plačilo, status, kanal</x:v>
      </x:c>
      <x:c r="E19" s="86" t="str">
        <x:v>oversell in odpoved</x:v>
      </x:c>
    </x:row>
    <x:row r="20" ht="24" customHeight="1">
      <x:c r="A20" s="84" t="str">
        <x:v>SP16</x:v>
      </x:c>
      <x:c r="B20" s="85" t="str">
        <x:v>P09</x:v>
      </x:c>
      <x:c r="C20" s="85" t="str">
        <x:v>Picking/packing</x:v>
      </x:c>
      <x:c r="D20" s="85" t="str">
        <x:v>postavka, lokacija, kurir, dokument</x:v>
      </x:c>
      <x:c r="E20" s="86" t="str">
        <x:v>napačen artikel ali strošek ponovne dostave</x:v>
      </x:c>
    </x:row>
    <x:row r="21" ht="24" customHeight="1">
      <x:c r="A21" s="84" t="str">
        <x:v>SP17</x:v>
      </x:c>
      <x:c r="B21" s="85" t="str">
        <x:v>P10</x:v>
      </x:c>
      <x:c r="C21" s="85" t="str">
        <x:v>Spletno vračilo</x:v>
      </x:c>
      <x:c r="D21" s="85" t="str">
        <x:v>razlog, stanje artikla, logistika, pristojbine</x:v>
      </x:c>
      <x:c r="E21" s="86" t="str">
        <x:v>kupnina se zmotno šteje kot cel strošek</x:v>
      </x:c>
    </x:row>
    <x:row r="22" ht="24" customHeight="1">
      <x:c r="A22" s="84" t="str">
        <x:v>SP18</x:v>
      </x:c>
      <x:c r="B22" s="85" t="str">
        <x:v>P10</x:v>
      </x:c>
      <x:c r="C22" s="85" t="str">
        <x:v>Garancijski primer</x:v>
      </x:c>
      <x:c r="D22" s="85" t="str">
        <x:v>račun, serija, dobavitelj, servis, zahtevek</x:v>
      </x:c>
      <x:c r="E22" s="86" t="str">
        <x:v>neizterjan dobaviteljski zahtevek</x:v>
      </x:c>
    </x:row>
    <x:row r="23" ht="24" customHeight="1">
      <x:c r="A23" s="84" t="str">
        <x:v>SP19</x:v>
      </x:c>
      <x:c r="B23" s="85" t="str">
        <x:v>P11</x:v>
      </x:c>
      <x:c r="C23" s="85" t="str">
        <x:v>Prejem dokumenta</x:v>
      </x:c>
      <x:c r="D23" s="85" t="str">
        <x:v>eSlog, PDF, papir, OCR</x:v>
      </x:c>
      <x:c r="E23" s="86" t="str">
        <x:v>ročno prepisovanje</x:v>
      </x:c>
    </x:row>
    <x:row r="24" ht="24" customHeight="1">
      <x:c r="A24" s="84" t="str">
        <x:v>SP20</x:v>
      </x:c>
      <x:c r="B24" s="85" t="str">
        <x:v>P11</x:v>
      </x:c>
      <x:c r="C24" s="85" t="str">
        <x:v>Mesečni zaključek</x:v>
      </x:c>
      <x:c r="D24" s="85" t="str">
        <x:v>knjiženje, DDV, plačila, uskladitve</x:v>
      </x:c>
      <x:c r="E24" s="86" t="str">
        <x:v>pozna napaka in zapiranje</x:v>
      </x:c>
    </x:row>
    <x:row r="25" ht="24" customHeight="1">
      <x:c r="A25" s="84" t="str">
        <x:v>SP21</x:v>
      </x:c>
      <x:c r="B25" s="85" t="str">
        <x:v>P12</x:v>
      </x:c>
      <x:c r="C25" s="85" t="str">
        <x:v>Redni KPI</x:v>
      </x:c>
      <x:c r="D25" s="85" t="str">
        <x:v>definicija, vir, lastnik, frekvenca</x:v>
      </x:c>
      <x:c r="E25" s="86" t="str">
        <x:v>več resnic v Excelu</x:v>
      </x:c>
    </x:row>
    <x:row r="26" ht="24" customHeight="1">
      <x:c r="A26" s="87" t="str">
        <x:v>SP22</x:v>
      </x:c>
      <x:c r="B26" s="88" t="str">
        <x:v>P12</x:v>
      </x:c>
      <x:c r="C26" s="88" t="str">
        <x:v>Akcija po odstopanju</x:v>
      </x:c>
      <x:c r="D26" s="88" t="str">
        <x:v>signal, vzrok, odgovorni, rok</x:v>
      </x:c>
      <x:c r="E26" s="89" t="str">
        <x:v>report obstaja brez ukrepa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0b6a26f30d84b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37" hidden="0" customWidth="1"/>
    <x:col min="4" max="4" width="38" hidden="0" customWidth="1"/>
    <x:col min="5" max="5" width="30" hidden="0" customWidth="1"/>
    <x:col min="6" max="6" width="30" hidden="0" customWidth="1"/>
    <x:col min="7" max="7" width="22" hidden="0" customWidth="1"/>
    <x:col min="8" max="8" width="12" hidden="0" customWidth="1"/>
  </x:cols>
  <x:sheetData>
    <x:row r="1" ht="38" customHeight="1">
      <x:c r="A1" s="4" t="str">
        <x:v>Katalog maloprodajnih bolečin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52" t="str">
        <x:v>Katalog je vhod v diagnostiko. Pri vsaki bolečini se ločijo ekonomska kategorija, vzrok, naslovljivost in dokaz, ki ga je treba pridobiti.</x:v>
      </x:c>
      <x:c r="B2" s="52"/>
      <x:c r="C2" s="52"/>
      <x:c r="D2" s="52"/>
      <x:c r="E2" s="52"/>
      <x:c r="F2" s="52"/>
      <x:c r="G2" s="52"/>
      <x:c r="H2" s="52"/>
    </x:row>
    <x:row r="4" ht="28" customHeight="1">
      <x:c r="A4" s="59" t="str">
        <x:v>ID</x:v>
      </x:c>
      <x:c r="B4" s="60" t="str">
        <x:v>Proces</x:v>
      </x:c>
      <x:c r="C4" s="60" t="str">
        <x:v>Bolečina</x:v>
      </x:c>
      <x:c r="D4" s="60" t="str">
        <x:v>Meritev</x:v>
      </x:c>
      <x:c r="E4" s="60" t="str">
        <x:v>Ekonomski učinek</x:v>
      </x:c>
      <x:c r="F4" s="60" t="str">
        <x:v>Glavni vzrok</x:v>
      </x:c>
      <x:c r="G4" s="60" t="str">
        <x:v>Naslovljivost</x:v>
      </x:c>
      <x:c r="H4" s="61" t="str">
        <x:v>Vir</x:v>
      </x:c>
    </x:row>
    <x:row r="5" ht="24" customHeight="1">
      <x:c r="A5" s="81" t="str">
        <x:v>B01</x:v>
      </x:c>
      <x:c r="B5" s="82" t="str">
        <x:v>P01</x:v>
      </x:c>
      <x:c r="C5" s="82" t="str">
        <x:v>Podvojeni ali nepopolni artikli</x:v>
      </x:c>
      <x:c r="D5" s="82" t="str">
        <x:v>čas popravkov + napake</x:v>
      </x:c>
      <x:c r="E5" s="82" t="str">
        <x:v>kapaciteta / neposredna izguba</x:v>
      </x:c>
      <x:c r="F5" s="82" t="str">
        <x:v>master data</x:v>
      </x:c>
      <x:c r="G5" s="82" t="str">
        <x:v>visoka</x:v>
      </x:c>
      <x:c r="H5" s="83" t="str">
        <x:v>PANT-01</x:v>
      </x:c>
    </x:row>
    <x:row r="6" ht="24" customHeight="1">
      <x:c r="A6" s="84" t="str">
        <x:v>B02</x:v>
      </x:c>
      <x:c r="B6" s="85" t="str">
        <x:v>P01</x:v>
      </x:c>
      <x:c r="C6" s="85" t="str">
        <x:v>Cenik ni sinhroniziran med kanali</x:v>
      </x:c>
      <x:c r="D6" s="85" t="str">
        <x:v>prodaja z napačno ceno</x:v>
      </x:c>
      <x:c r="E6" s="85" t="str">
        <x:v>marža</x:v>
      </x:c>
      <x:c r="F6" s="85" t="str">
        <x:v>proces / integracija</x:v>
      </x:c>
      <x:c r="G6" s="85" t="str">
        <x:v>visoka</x:v>
      </x:c>
      <x:c r="H6" s="86" t="str">
        <x:v>PANT-01</x:v>
      </x:c>
    </x:row>
    <x:row r="7" ht="24" customHeight="1">
      <x:c r="A7" s="84" t="str">
        <x:v>B03</x:v>
      </x:c>
      <x:c r="B7" s="85" t="str">
        <x:v>P02</x:v>
      </x:c>
      <x:c r="C7" s="85" t="str">
        <x:v>Naročanje po občutku</x:v>
      </x:c>
      <x:c r="D7" s="85" t="str">
        <x:v>ekspresne dobave in zaloga</x:v>
      </x:c>
      <x:c r="E7" s="85" t="str">
        <x:v>neposredna izguba / kapital</x:v>
      </x:c>
      <x:c r="F7" s="85" t="str">
        <x:v>proces / podatki</x:v>
      </x:c>
      <x:c r="G7" s="85" t="str">
        <x:v>srednja</x:v>
      </x:c>
      <x:c r="H7" s="86" t="str">
        <x:v>PANT-02</x:v>
      </x:c>
    </x:row>
    <x:row r="8" ht="24" customHeight="1">
      <x:c r="A8" s="84" t="str">
        <x:v>B04</x:v>
      </x:c>
      <x:c r="B8" s="85" t="str">
        <x:v>P02</x:v>
      </x:c>
      <x:c r="C8" s="85" t="str">
        <x:v>Neizterjani rabati in reklamacije</x:v>
      </x:c>
      <x:c r="D8" s="85" t="str">
        <x:v>neizterjan EUR/leto</x:v>
      </x:c>
      <x:c r="E8" s="85" t="str">
        <x:v>neposredna izguba</x:v>
      </x:c>
      <x:c r="F8" s="85" t="str">
        <x:v>discipline / dokumenti</x:v>
      </x:c>
      <x:c r="G8" s="85" t="str">
        <x:v>srednja</x:v>
      </x:c>
      <x:c r="H8" s="86" t="str">
        <x:v>PANT-02</x:v>
      </x:c>
    </x:row>
    <x:row r="9" ht="24" customHeight="1">
      <x:c r="A9" s="84" t="str">
        <x:v>B05</x:v>
      </x:c>
      <x:c r="B9" s="85" t="str">
        <x:v>P03</x:v>
      </x:c>
      <x:c r="C9" s="85" t="str">
        <x:v>Ročen prevzem in vnos</x:v>
      </x:c>
      <x:c r="D9" s="85" t="str">
        <x:v>minute/postavko</x:v>
      </x:c>
      <x:c r="E9" s="85" t="str">
        <x:v>kapaciteta</x:v>
      </x:c>
      <x:c r="F9" s="85" t="str">
        <x:v>skeniranje / postopek</x:v>
      </x:c>
      <x:c r="G9" s="85" t="str">
        <x:v>visoka</x:v>
      </x:c>
      <x:c r="H9" s="86" t="str">
        <x:v>PANT-03</x:v>
      </x:c>
    </x:row>
    <x:row r="10" ht="24" customHeight="1">
      <x:c r="A10" s="84" t="str">
        <x:v>B06</x:v>
      </x:c>
      <x:c r="B10" s="85" t="str">
        <x:v>P03</x:v>
      </x:c>
      <x:c r="C10" s="85" t="str">
        <x:v>Razlike naročilo–dobavnica–račun</x:v>
      </x:c>
      <x:c r="D10" s="85" t="str">
        <x:v>št. razlik x čas</x:v>
      </x:c>
      <x:c r="E10" s="85" t="str">
        <x:v>kapaciteta / neposredna izguba</x:v>
      </x:c>
      <x:c r="F10" s="85" t="str">
        <x:v>kontrola procesa</x:v>
      </x:c>
      <x:c r="G10" s="85" t="str">
        <x:v>visoka</x:v>
      </x:c>
      <x:c r="H10" s="86" t="str">
        <x:v>PANT-02</x:v>
      </x:c>
    </x:row>
    <x:row r="11" ht="24" customHeight="1">
      <x:c r="A11" s="84" t="str">
        <x:v>B07</x:v>
      </x:c>
      <x:c r="B11" s="85" t="str">
        <x:v>P04</x:v>
      </x:c>
      <x:c r="C11" s="85" t="str">
        <x:v>Prenos brez sledljivosti</x:v>
      </x:c>
      <x:c r="D11" s="85" t="str">
        <x:v>vrednost izgub / čas iskanja</x:v>
      </x:c>
      <x:c r="E11" s="85" t="str">
        <x:v>neposredna izguba / kapaciteta</x:v>
      </x:c>
      <x:c r="F11" s="85" t="str">
        <x:v>proces / pravice</x:v>
      </x:c>
      <x:c r="G11" s="85" t="str">
        <x:v>visoka</x:v>
      </x:c>
      <x:c r="H11" s="86" t="str">
        <x:v>PANT-03</x:v>
      </x:c>
    </x:row>
    <x:row r="12" ht="24" customHeight="1">
      <x:c r="A12" s="84" t="str">
        <x:v>B08</x:v>
      </x:c>
      <x:c r="B12" s="85" t="str">
        <x:v>P04</x:v>
      </x:c>
      <x:c r="C12" s="85" t="str">
        <x:v>Lot/serija ni dosegljiv pri reklamaciji</x:v>
      </x:c>
      <x:c r="D12" s="85" t="str">
        <x:v>čas primera / zahtevek</x:v>
      </x:c>
      <x:c r="E12" s="85" t="str">
        <x:v>kapaciteta / neposredna izguba</x:v>
      </x:c>
      <x:c r="F12" s="85" t="str">
        <x:v>zajem atributov</x:v>
      </x:c>
      <x:c r="G12" s="85" t="str">
        <x:v>srednja</x:v>
      </x:c>
      <x:c r="H12" s="86" t="str">
        <x:v>GS1-01</x:v>
      </x:c>
    </x:row>
    <x:row r="13" ht="24" customHeight="1">
      <x:c r="A13" s="84" t="str">
        <x:v>B09</x:v>
      </x:c>
      <x:c r="B13" s="85" t="str">
        <x:v>P05</x:v>
      </x:c>
      <x:c r="C13" s="85" t="str">
        <x:v>Prazna polica ob zalogi drugje</x:v>
      </x:c>
      <x:c r="D13" s="85" t="str">
        <x:v>izgubljena prodaja in marža</x:v>
      </x:c>
      <x:c r="E13" s="85" t="str">
        <x:v>marža</x:v>
      </x:c>
      <x:c r="F13" s="85" t="str">
        <x:v>vidnost / replenishment</x:v>
      </x:c>
      <x:c r="G13" s="85" t="str">
        <x:v>srednja–visoka</x:v>
      </x:c>
      <x:c r="H13" s="86" t="str">
        <x:v>PANT-02</x:v>
      </x:c>
    </x:row>
    <x:row r="14" ht="24" customHeight="1">
      <x:c r="A14" s="84" t="str">
        <x:v>B10</x:v>
      </x:c>
      <x:c r="B14" s="85" t="str">
        <x:v>P05</x:v>
      </x:c>
      <x:c r="C14" s="85" t="str">
        <x:v>Presežna oziroma stara zaloga</x:v>
      </x:c>
      <x:c r="D14" s="85" t="str">
        <x:v>povprečna zaloga x zmanjšljivi delež</x:v>
      </x:c>
      <x:c r="E14" s="85" t="str">
        <x:v>kapital / financiranje</x:v>
      </x:c>
      <x:c r="F14" s="85" t="str">
        <x:v>naročanje / asortiment</x:v>
      </x:c>
      <x:c r="G14" s="85" t="str">
        <x:v>srednja</x:v>
      </x:c>
      <x:c r="H14" s="86" t="str">
        <x:v>INT-01</x:v>
      </x:c>
    </x:row>
    <x:row r="15" ht="24" customHeight="1">
      <x:c r="A15" s="84" t="str">
        <x:v>B11</x:v>
      </x:c>
      <x:c r="B15" s="85" t="str">
        <x:v>P06</x:v>
      </x:c>
      <x:c r="C15" s="85" t="str">
        <x:v>Prenizka ali predolga akcijska cena</x:v>
      </x:c>
      <x:c r="D15" s="85" t="str">
        <x:v>prizadeta prodaja x odstopanje</x:v>
      </x:c>
      <x:c r="E15" s="85" t="str">
        <x:v>marža</x:v>
      </x:c>
      <x:c r="F15" s="85" t="str">
        <x:v>cenik / pravila</x:v>
      </x:c>
      <x:c r="G15" s="85" t="str">
        <x:v>visoka</x:v>
      </x:c>
      <x:c r="H15" s="86" t="str">
        <x:v>SPOT-02</x:v>
      </x:c>
    </x:row>
    <x:row r="16" ht="24" customHeight="1">
      <x:c r="A16" s="84" t="str">
        <x:v>B12</x:v>
      </x:c>
      <x:c r="B16" s="85" t="str">
        <x:v>P06</x:v>
      </x:c>
      <x:c r="C16" s="85" t="str">
        <x:v>Ročne etikete in dokaz cene</x:v>
      </x:c>
      <x:c r="D16" s="85" t="str">
        <x:v>ure + regulatorno tveganje</x:v>
      </x:c>
      <x:c r="E16" s="85" t="str">
        <x:v>kapaciteta / tveganje</x:v>
      </x:c>
      <x:c r="F16" s="85" t="str">
        <x:v>cene / zgodovina</x:v>
      </x:c>
      <x:c r="G16" s="85" t="str">
        <x:v>srednja–visoka</x:v>
      </x:c>
      <x:c r="H16" s="86" t="str">
        <x:v>SPOT-02</x:v>
      </x:c>
    </x:row>
    <x:row r="17" ht="24" customHeight="1">
      <x:c r="A17" s="84" t="str">
        <x:v>B13</x:v>
      </x:c>
      <x:c r="B17" s="85" t="str">
        <x:v>P07</x:v>
      </x:c>
      <x:c r="C17" s="85" t="str">
        <x:v>Dolgi dnevni zaključki</x:v>
      </x:c>
      <x:c r="D17" s="85" t="str">
        <x:v>blagajne x dnevi x minute</x:v>
      </x:c>
      <x:c r="E17" s="85" t="str">
        <x:v>kapaciteta</x:v>
      </x:c>
      <x:c r="F17" s="85" t="str">
        <x:v>POS / plačila</x:v>
      </x:c>
      <x:c r="G17" s="85" t="str">
        <x:v>visoka</x:v>
      </x:c>
      <x:c r="H17" s="86" t="str">
        <x:v>PANT-01</x:v>
      </x:c>
    </x:row>
    <x:row r="18" ht="24" customHeight="1">
      <x:c r="A18" s="84" t="str">
        <x:v>B14</x:v>
      </x:c>
      <x:c r="B18" s="85" t="str">
        <x:v>P07</x:v>
      </x:c>
      <x:c r="C18" s="85" t="str">
        <x:v>Blagajniške razlike</x:v>
      </x:c>
      <x:c r="D18" s="85" t="str">
        <x:v>neposreden znesek + čas</x:v>
      </x:c>
      <x:c r="E18" s="85" t="str">
        <x:v>neposredna izguba / kapaciteta</x:v>
      </x:c>
      <x:c r="F18" s="85" t="str">
        <x:v>postopek / kontrole</x:v>
      </x:c>
      <x:c r="G18" s="85" t="str">
        <x:v>srednja</x:v>
      </x:c>
      <x:c r="H18" s="86" t="str">
        <x:v>PANT-01</x:v>
      </x:c>
    </x:row>
    <x:row r="19" ht="24" customHeight="1">
      <x:c r="A19" s="84" t="str">
        <x:v>B15</x:v>
      </x:c>
      <x:c r="B19" s="85" t="str">
        <x:v>P07</x:v>
      </x:c>
      <x:c r="C19" s="85" t="str">
        <x:v>POS izpad ustavi prodajo</x:v>
      </x:c>
      <x:c r="D19" s="85" t="str">
        <x:v>ure izpada x izgubljena marža</x:v>
      </x:c>
      <x:c r="E19" s="85" t="str">
        <x:v>marža</x:v>
      </x:c>
      <x:c r="F19" s="85" t="str">
        <x:v>infrastruktura</x:v>
      </x:c>
      <x:c r="G19" s="85" t="str">
        <x:v>srednja</x:v>
      </x:c>
      <x:c r="H19" s="86" t="str">
        <x:v>PANT-01</x:v>
      </x:c>
    </x:row>
    <x:row r="20" ht="24" customHeight="1">
      <x:c r="A20" s="84" t="str">
        <x:v>B16</x:v>
      </x:c>
      <x:c r="B20" s="85" t="str">
        <x:v>P08</x:v>
      </x:c>
      <x:c r="C20" s="85" t="str">
        <x:v>Inventura zahteva zaprtje in ročni vnos</x:v>
      </x:c>
      <x:c r="D20" s="85" t="str">
        <x:v>ure + izgubljena prodaja</x:v>
      </x:c>
      <x:c r="E20" s="85" t="str">
        <x:v>kapaciteta / marža</x:v>
      </x:c>
      <x:c r="F20" s="85" t="str">
        <x:v>orodje / proces</x:v>
      </x:c>
      <x:c r="G20" s="85" t="str">
        <x:v>visoka</x:v>
      </x:c>
      <x:c r="H20" s="86" t="str">
        <x:v>PANT-03</x:v>
      </x:c>
    </x:row>
    <x:row r="21" ht="24" customHeight="1">
      <x:c r="A21" s="84" t="str">
        <x:v>B17</x:v>
      </x:c>
      <x:c r="B21" s="85" t="str">
        <x:v>P08</x:v>
      </x:c>
      <x:c r="C21" s="85" t="str">
        <x:v>Nejasen inventurni manko</x:v>
      </x:c>
      <x:c r="D21" s="85" t="str">
        <x:v>manko po nabavni vrednosti</x:v>
      </x:c>
      <x:c r="E21" s="85" t="str">
        <x:v>neposredna izguba</x:v>
      </x:c>
      <x:c r="F21" s="85" t="str">
        <x:v>kraja / proces / podatki</x:v>
      </x:c>
      <x:c r="G21" s="85" t="str">
        <x:v>odvisno od vzroka</x:v>
      </x:c>
      <x:c r="H21" s="86" t="str">
        <x:v>NRF-02</x:v>
      </x:c>
    </x:row>
    <x:row r="22" ht="24" customHeight="1">
      <x:c r="A22" s="84" t="str">
        <x:v>B18</x:v>
      </x:c>
      <x:c r="B22" s="85" t="str">
        <x:v>P09</x:v>
      </x:c>
      <x:c r="C22" s="85" t="str">
        <x:v>Odpovedano spletno naročilo zaradi zaloge</x:v>
      </x:c>
      <x:c r="D22" s="85" t="str">
        <x:v>odpovedi x prispevna marža</x:v>
      </x:c>
      <x:c r="E22" s="85" t="str">
        <x:v>marža</x:v>
      </x:c>
      <x:c r="F22" s="85" t="str">
        <x:v>integracija / zaloga</x:v>
      </x:c>
      <x:c r="G22" s="85" t="str">
        <x:v>srednja</x:v>
      </x:c>
      <x:c r="H22" s="86" t="str">
        <x:v>PANT-04</x:v>
      </x:c>
    </x:row>
    <x:row r="23" ht="24" customHeight="1">
      <x:c r="A23" s="84" t="str">
        <x:v>B19</x:v>
      </x:c>
      <x:c r="B23" s="85" t="str">
        <x:v>P09</x:v>
      </x:c>
      <x:c r="C23" s="85" t="str">
        <x:v>Ročni prenos spletnih naročil</x:v>
      </x:c>
      <x:c r="D23" s="85" t="str">
        <x:v>naročila x minute</x:v>
      </x:c>
      <x:c r="E23" s="85" t="str">
        <x:v>kapaciteta</x:v>
      </x:c>
      <x:c r="F23" s="85" t="str">
        <x:v>integracija</x:v>
      </x:c>
      <x:c r="G23" s="85" t="str">
        <x:v>srednja</x:v>
      </x:c>
      <x:c r="H23" s="86" t="str">
        <x:v>PANT-04</x:v>
      </x:c>
    </x:row>
    <x:row r="24" ht="24" customHeight="1">
      <x:c r="A24" s="84" t="str">
        <x:v>B20</x:v>
      </x:c>
      <x:c r="B24" s="85" t="str">
        <x:v>P09</x:v>
      </x:c>
      <x:c r="C24" s="85" t="str">
        <x:v>Napačen picking</x:v>
      </x:c>
      <x:c r="D24" s="85" t="str">
        <x:v>napake x povratna logistika</x:v>
      </x:c>
      <x:c r="E24" s="85" t="str">
        <x:v>neposredna izguba</x:v>
      </x:c>
      <x:c r="F24" s="85" t="str">
        <x:v>skeniranje / postopek</x:v>
      </x:c>
      <x:c r="G24" s="85" t="str">
        <x:v>srednja</x:v>
      </x:c>
      <x:c r="H24" s="86" t="str">
        <x:v>PANT-04</x:v>
      </x:c>
    </x:row>
    <x:row r="25" ht="24" customHeight="1">
      <x:c r="A25" s="84" t="str">
        <x:v>B21</x:v>
      </x:c>
      <x:c r="B25" s="85" t="str">
        <x:v>P10</x:v>
      </x:c>
      <x:c r="C25" s="85" t="str">
        <x:v>Strošek vračil ni razstavljen</x:v>
      </x:c>
      <x:c r="D25" s="85" t="str">
        <x:v>delo + logistika + pristojbine + odpis</x:v>
      </x:c>
      <x:c r="E25" s="85" t="str">
        <x:v>neposredna izguba</x:v>
      </x:c>
      <x:c r="F25" s="85" t="str">
        <x:v>merjenje / proces</x:v>
      </x:c>
      <x:c r="G25" s="85" t="str">
        <x:v>srednja</x:v>
      </x:c>
      <x:c r="H25" s="86" t="str">
        <x:v>SPOT-01</x:v>
      </x:c>
    </x:row>
    <x:row r="26" ht="24" customHeight="1">
      <x:c r="A26" s="84" t="str">
        <x:v>B22</x:v>
      </x:c>
      <x:c r="B26" s="85" t="str">
        <x:v>P10</x:v>
      </x:c>
      <x:c r="C26" s="85" t="str">
        <x:v>Garancija brez računa ali serije</x:v>
      </x:c>
      <x:c r="D26" s="85" t="str">
        <x:v>čas primera + neizterjani zahtevki</x:v>
      </x:c>
      <x:c r="E26" s="85" t="str">
        <x:v>kapaciteta / neposredna izguba</x:v>
      </x:c>
      <x:c r="F26" s="85" t="str">
        <x:v>dokument / serializacija</x:v>
      </x:c>
      <x:c r="G26" s="85" t="str">
        <x:v>srednja</x:v>
      </x:c>
      <x:c r="H26" s="86" t="str">
        <x:v>PANT-01</x:v>
      </x:c>
    </x:row>
    <x:row r="27" ht="24" customHeight="1">
      <x:c r="A27" s="84" t="str">
        <x:v>B23</x:v>
      </x:c>
      <x:c r="B27" s="85" t="str">
        <x:v>P11</x:v>
      </x:c>
      <x:c r="C27" s="85" t="str">
        <x:v>PDF/papirni dokumenti se prepisujejo</x:v>
      </x:c>
      <x:c r="D27" s="85" t="str">
        <x:v>dokumenti x minute</x:v>
      </x:c>
      <x:c r="E27" s="85" t="str">
        <x:v>kapaciteta</x:v>
      </x:c>
      <x:c r="F27" s="85" t="str">
        <x:v>e-dokument / OCR</x:v>
      </x:c>
      <x:c r="G27" s="85" t="str">
        <x:v>visoka</x:v>
      </x:c>
      <x:c r="H27" s="86" t="str">
        <x:v>PANT-04</x:v>
      </x:c>
    </x:row>
    <x:row r="28" ht="24" customHeight="1">
      <x:c r="A28" s="84" t="str">
        <x:v>B24</x:v>
      </x:c>
      <x:c r="B28" s="85" t="str">
        <x:v>P11</x:v>
      </x:c>
      <x:c r="C28" s="85" t="str">
        <x:v>Zamujeni skonti in napačna plačila</x:v>
      </x:c>
      <x:c r="D28" s="85" t="str">
        <x:v>neposredni znesek</x:v>
      </x:c>
      <x:c r="E28" s="85" t="str">
        <x:v>neposredna izguba</x:v>
      </x:c>
      <x:c r="F28" s="85" t="str">
        <x:v>potrjevanje / finance</x:v>
      </x:c>
      <x:c r="G28" s="85" t="str">
        <x:v>srednja</x:v>
      </x:c>
      <x:c r="H28" s="86" t="str">
        <x:v>PANT-04</x:v>
      </x:c>
    </x:row>
    <x:row r="29" ht="24" customHeight="1">
      <x:c r="A29" s="84" t="str">
        <x:v>B25</x:v>
      </x:c>
      <x:c r="B29" s="85" t="str">
        <x:v>P12</x:v>
      </x:c>
      <x:c r="C29" s="85" t="str">
        <x:v>Več Excelov z različnimi številkami</x:v>
      </x:c>
      <x:c r="D29" s="85" t="str">
        <x:v>ure usklajevanja</x:v>
      </x:c>
      <x:c r="E29" s="85" t="str">
        <x:v>kapaciteta</x:v>
      </x:c>
      <x:c r="F29" s="85" t="str">
        <x:v>vir resnice / definicije</x:v>
      </x:c>
      <x:c r="G29" s="85" t="str">
        <x:v>visoka</x:v>
      </x:c>
      <x:c r="H29" s="86" t="str">
        <x:v>PANT-01</x:v>
      </x:c>
    </x:row>
    <x:row r="30" ht="24" customHeight="1">
      <x:c r="A30" s="84" t="str">
        <x:v>B26</x:v>
      </x:c>
      <x:c r="B30" s="85" t="str">
        <x:v>P12</x:v>
      </x:c>
      <x:c r="C30" s="85" t="str">
        <x:v>Maržna odstopanja se odkrijejo prepozno</x:v>
      </x:c>
      <x:c r="D30" s="85" t="str">
        <x:v>marža pred ukrepom</x:v>
      </x:c>
      <x:c r="E30" s="85" t="str">
        <x:v>marža</x:v>
      </x:c>
      <x:c r="F30" s="85" t="str">
        <x:v>poročanje / odgovornost</x:v>
      </x:c>
      <x:c r="G30" s="85" t="str">
        <x:v>srednja</x:v>
      </x:c>
      <x:c r="H30" s="86" t="str">
        <x:v>PANT-01</x:v>
      </x:c>
    </x:row>
    <x:row r="31" ht="24" customHeight="1">
      <x:c r="A31" s="84" t="str">
        <x:v>B27</x:v>
      </x:c>
      <x:c r="B31" s="85" t="str">
        <x:v>P05</x:v>
      </x:c>
      <x:c r="C31" s="85" t="str">
        <x:v>Ekspresne dobave zaradi zamude</x:v>
      </x:c>
      <x:c r="D31" s="85" t="str">
        <x:v>letni strošek ekspresov</x:v>
      </x:c>
      <x:c r="E31" s="85" t="str">
        <x:v>neposredna izguba</x:v>
      </x:c>
      <x:c r="F31" s="85" t="str">
        <x:v>planiranje / dobavitelj</x:v>
      </x:c>
      <x:c r="G31" s="85" t="str">
        <x:v>srednja</x:v>
      </x:c>
      <x:c r="H31" s="86" t="str">
        <x:v>PANT-02</x:v>
      </x:c>
    </x:row>
    <x:row r="32" ht="24" customHeight="1">
      <x:c r="A32" s="84" t="str">
        <x:v>B28</x:v>
      </x:c>
      <x:c r="B32" s="85" t="str">
        <x:v>P06</x:v>
      </x:c>
      <x:c r="C32" s="85" t="str">
        <x:v>Neobračunano sofinanciranje promocije</x:v>
      </x:c>
      <x:c r="D32" s="85" t="str">
        <x:v>neizterjan prispevek</x:v>
      </x:c>
      <x:c r="E32" s="85" t="str">
        <x:v>neposredna izguba</x:v>
      </x:c>
      <x:c r="F32" s="85" t="str">
        <x:v>dobavitelj / dokumenti</x:v>
      </x:c>
      <x:c r="G32" s="85" t="str">
        <x:v>srednja</x:v>
      </x:c>
      <x:c r="H32" s="86" t="str">
        <x:v>PANT-02</x:v>
      </x:c>
    </x:row>
    <x:row r="33" ht="24" customHeight="1">
      <x:c r="A33" s="87" t="str">
        <x:v>B29</x:v>
      </x:c>
      <x:c r="B33" s="88" t="str">
        <x:v>P10</x:v>
      </x:c>
      <x:c r="C33" s="88" t="str">
        <x:v>Vračilo postane neprodajljivo</x:v>
      </x:c>
      <x:c r="D33" s="88" t="str">
        <x:v>vračila x markdown/odpis</x:v>
      </x:c>
      <x:c r="E33" s="88" t="str">
        <x:v>neposredna izguba</x:v>
      </x:c>
      <x:c r="F33" s="88" t="str">
        <x:v>proces vračila</x:v>
      </x:c>
      <x:c r="G33" s="88" t="str">
        <x:v>srednja</x:v>
      </x:c>
      <x:c r="H33" s="89" t="str">
        <x:v>NRF-01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98318688d7417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50" hidden="0" customWidth="1"/>
    <x:col min="4" max="4" width="28" hidden="0" customWidth="1"/>
    <x:col min="5" max="5" width="28" hidden="0" customWidth="1"/>
    <x:col min="6" max="6" width="43" hidden="0" customWidth="1"/>
  </x:cols>
  <x:sheetData>
    <x:row r="1" ht="38" customHeight="1">
      <x:c r="A1" s="4" t="str">
        <x:v>KPI slovar maloprodaje</x:v>
      </x:c>
      <x:c r="B1" s="4"/>
      <x:c r="C1" s="4"/>
      <x:c r="D1" s="4"/>
      <x:c r="E1" s="4"/>
      <x:c r="F1" s="4"/>
    </x:row>
    <x:row r="2" ht="34" customHeight="1">
      <x:c r="A2" s="52" t="str">
        <x:v>Vsak KPI mora imeti imenovalec, časovno obdobje, kanal in vir. Brez tega je število signal, ne podlaga za ROI.</x:v>
      </x:c>
      <x:c r="B2" s="52"/>
      <x:c r="C2" s="52"/>
      <x:c r="D2" s="52"/>
      <x:c r="E2" s="52"/>
      <x:c r="F2" s="52"/>
    </x:row>
    <x:row r="4" ht="28" customHeight="1">
      <x:c r="A4" s="59" t="str">
        <x:v>ID</x:v>
      </x:c>
      <x:c r="B4" s="60" t="str">
        <x:v>KPI</x:v>
      </x:c>
      <x:c r="C4" s="60" t="str">
        <x:v>Formula/definicija</x:v>
      </x:c>
      <x:c r="D4" s="60" t="str">
        <x:v>Odločitev</x:v>
      </x:c>
      <x:c r="E4" s="60" t="str">
        <x:v>Tipičen vir</x:v>
      </x:c>
      <x:c r="F4" s="61" t="str">
        <x:v>Opomba</x:v>
      </x:c>
    </x:row>
    <x:row r="5" ht="24" customHeight="1">
      <x:c r="A5" s="81" t="str">
        <x:v>K01</x:v>
      </x:c>
      <x:c r="B5" s="82" t="str">
        <x:v>Prispevna marža</x:v>
      </x:c>
      <x:c r="C5" s="82" t="str">
        <x:v>neto prodaja − COGS − neposredni stroški kanala</x:v>
      </x:c>
      <x:c r="D5" s="82" t="str">
        <x:v>cena, promocija, kanal</x:v>
      </x:c>
      <x:c r="E5" s="82" t="str">
        <x:v>ERP + plačilni/spletni podatki</x:v>
      </x:c>
      <x:c r="F5" s="83" t="str">
        <x:v>ni enaka bruto marži</x:v>
      </x:c>
    </x:row>
    <x:row r="6" ht="24" customHeight="1">
      <x:c r="A6" s="84" t="str">
        <x:v>K02</x:v>
      </x:c>
      <x:c r="B6" s="85" t="str">
        <x:v>GMROI</x:v>
      </x:c>
      <x:c r="C6" s="85" t="str">
        <x:v>bruto marža / povprečna zaloga po nabavni vrednosti</x:v>
      </x:c>
      <x:c r="D6" s="85" t="str">
        <x:v>donos zaloge</x:v>
      </x:c>
      <x:c r="E6" s="85" t="str">
        <x:v>ERP</x:v>
      </x:c>
      <x:c r="F6" s="86" t="str">
        <x:v>uporabi isto definicijo zaloge</x:v>
      </x:c>
    </x:row>
    <x:row r="7" ht="24" customHeight="1">
      <x:c r="A7" s="84" t="str">
        <x:v>K03</x:v>
      </x:c>
      <x:c r="B7" s="85" t="str">
        <x:v>Obrat zaloge</x:v>
      </x:c>
      <x:c r="C7" s="85" t="str">
        <x:v>COGS / povprečna zaloga</x:v>
      </x:c>
      <x:c r="D7" s="85" t="str">
        <x:v>kapital in staranje</x:v>
      </x:c>
      <x:c r="E7" s="85" t="str">
        <x:v>ERP/računovodstvo</x:v>
      </x:c>
      <x:c r="F7" s="86" t="str">
        <x:v>obdobje mora biti jasno</x:v>
      </x:c>
    </x:row>
    <x:row r="8" ht="24" customHeight="1">
      <x:c r="A8" s="84" t="str">
        <x:v>K04</x:v>
      </x:c>
      <x:c r="B8" s="85" t="str">
        <x:v>Dnevi zaloge</x:v>
      </x:c>
      <x:c r="C8" s="85" t="str">
        <x:v>povp. zaloga / COGS x 365</x:v>
      </x:c>
      <x:c r="D8" s="85" t="str">
        <x:v>replenishment</x:v>
      </x:c>
      <x:c r="E8" s="85" t="str">
        <x:v>ERP/računovodstvo</x:v>
      </x:c>
      <x:c r="F8" s="86" t="str">
        <x:v>ne mešaj prodajne in nabavne vrednosti</x:v>
      </x:c>
    </x:row>
    <x:row r="9" ht="24" customHeight="1">
      <x:c r="A9" s="84" t="str">
        <x:v>K05</x:v>
      </x:c>
      <x:c r="B9" s="85" t="str">
        <x:v>Sell-through</x:v>
      </x:c>
      <x:c r="C9" s="85" t="str">
        <x:v>prodane enote / razpoložljive enote v obdobju</x:v>
      </x:c>
      <x:c r="D9" s="85" t="str">
        <x:v>asortiment/markdown</x:v>
      </x:c>
      <x:c r="E9" s="85" t="str">
        <x:v>ERP/POS</x:v>
      </x:c>
      <x:c r="F9" s="86" t="str">
        <x:v>po sezoni ali kategoriji</x:v>
      </x:c>
    </x:row>
    <x:row r="10" ht="24" customHeight="1">
      <x:c r="A10" s="84" t="str">
        <x:v>K06</x:v>
      </x:c>
      <x:c r="B10" s="85" t="str">
        <x:v>Stockout rate</x:v>
      </x:c>
      <x:c r="C10" s="85" t="str">
        <x:v>nedobavljivi ključni primeri / zahtevani primeri</x:v>
      </x:c>
      <x:c r="D10" s="85" t="str">
        <x:v>razpoložljivost</x:v>
      </x:c>
      <x:c r="E10" s="85" t="str">
        <x:v>POS/splet/vzorec</x:v>
      </x:c>
      <x:c r="F10" s="86" t="str">
        <x:v>meri po kanalu</x:v>
      </x:c>
    </x:row>
    <x:row r="11" ht="24" customHeight="1">
      <x:c r="A11" s="84" t="str">
        <x:v>K07</x:v>
      </x:c>
      <x:c r="B11" s="85" t="str">
        <x:v>OSA</x:v>
      </x:c>
      <x:c r="C11" s="85" t="str">
        <x:v>artikli dejansko na polici / planirani artikli</x:v>
      </x:c>
      <x:c r="D11" s="85" t="str">
        <x:v>izvedba poslovalnice</x:v>
      </x:c>
      <x:c r="E11" s="85" t="str">
        <x:v>store audit</x:v>
      </x:c>
      <x:c r="F11" s="86" t="str">
        <x:v>loči polico od skladišča</x:v>
      </x:c>
    </x:row>
    <x:row r="12" ht="24" customHeight="1">
      <x:c r="A12" s="84" t="str">
        <x:v>K08</x:v>
      </x:c>
      <x:c r="B12" s="85" t="str">
        <x:v>OTIF dobavitelja</x:v>
      </x:c>
      <x:c r="C12" s="85" t="str">
        <x:v>pravočasne in popolne dobave / vse dobave</x:v>
      </x:c>
      <x:c r="D12" s="85" t="str">
        <x:v>nabava</x:v>
      </x:c>
      <x:c r="E12" s="85" t="str">
        <x:v>naročila/prevzemi</x:v>
      </x:c>
      <x:c r="F12" s="86" t="str">
        <x:v>slab dobavitelj ni celoten ERP ROI</x:v>
      </x:c>
    </x:row>
    <x:row r="13" ht="24" customHeight="1">
      <x:c r="A13" s="84" t="str">
        <x:v>K09</x:v>
      </x:c>
      <x:c r="B13" s="85" t="str">
        <x:v>Točnost zaloge</x:v>
      </x:c>
      <x:c r="C13" s="85" t="str">
        <x:v>1 − |knjiga − fizično| / fizično stanje</x:v>
      </x:c>
      <x:c r="D13" s="85" t="str">
        <x:v>zaupanje zalogi</x:v>
      </x:c>
      <x:c r="E13" s="85" t="str">
        <x:v>inventura</x:v>
      </x:c>
      <x:c r="F13" s="86" t="str">
        <x:v>preveri imenovalec pri nič</x:v>
      </x:c>
    </x:row>
    <x:row r="14" ht="24" customHeight="1">
      <x:c r="A14" s="84" t="str">
        <x:v>K10</x:v>
      </x:c>
      <x:c r="B14" s="85" t="str">
        <x:v>Shrink</x:v>
      </x:c>
      <x:c r="C14" s="85" t="str">
        <x:v>manko po nabavni vrednosti / ustrezna osnova</x:v>
      </x:c>
      <x:c r="D14" s="85" t="str">
        <x:v>kontrola izgube</x:v>
      </x:c>
      <x:c r="E14" s="85" t="str">
        <x:v>inventura/finance</x:v>
      </x:c>
      <x:c r="F14" s="86" t="str">
        <x:v>vzrok določa naslovljivost</x:v>
      </x:c>
    </x:row>
    <x:row r="15" ht="24" customHeight="1">
      <x:c r="A15" s="84" t="str">
        <x:v>K11</x:v>
      </x:c>
      <x:c r="B15" s="85" t="str">
        <x:v>Markdown rate</x:v>
      </x:c>
      <x:c r="C15" s="85" t="str">
        <x:v>znižana prodaja / prodaja ali maržni vpliv</x:v>
      </x:c>
      <x:c r="D15" s="85" t="str">
        <x:v>sezona in cena</x:v>
      </x:c>
      <x:c r="E15" s="85" t="str">
        <x:v>POS/ceniki</x:v>
      </x:c>
      <x:c r="F15" s="86" t="str">
        <x:v>navedi definicijo</x:v>
      </x:c>
    </x:row>
    <x:row r="16" ht="24" customHeight="1">
      <x:c r="A16" s="84" t="str">
        <x:v>K12</x:v>
      </x:c>
      <x:c r="B16" s="85" t="str">
        <x:v>Return rate</x:v>
      </x:c>
      <x:c r="C16" s="85" t="str">
        <x:v>vrnjena naročila/enote / prodana naročila/enote</x:v>
      </x:c>
      <x:c r="D16" s="85" t="str">
        <x:v>spletna ekonomika</x:v>
      </x:c>
      <x:c r="E16" s="85" t="str">
        <x:v>OMS/e-commerce/POS</x:v>
      </x:c>
      <x:c r="F16" s="86" t="str">
        <x:v>po razlogu vračila</x:v>
      </x:c>
    </x:row>
    <x:row r="17" ht="24" customHeight="1">
      <x:c r="A17" s="84" t="str">
        <x:v>K13</x:v>
      </x:c>
      <x:c r="B17" s="85" t="str">
        <x:v>Pick accuracy</x:v>
      </x:c>
      <x:c r="C17" s="85" t="str">
        <x:v>pravilno izpolnjene postavke / vse postavke</x:v>
      </x:c>
      <x:c r="D17" s="85" t="str">
        <x:v>fulfilment</x:v>
      </x:c>
      <x:c r="E17" s="85" t="str">
        <x:v>WMS/OMS/vračila</x:v>
      </x:c>
      <x:c r="F17" s="86" t="str">
        <x:v>ločeno od odpovedi</x:v>
      </x:c>
    </x:row>
    <x:row r="18" ht="24" customHeight="1">
      <x:c r="A18" s="84" t="str">
        <x:v>K14</x:v>
      </x:c>
      <x:c r="B18" s="85" t="str">
        <x:v>Closing time</x:v>
      </x:c>
      <x:c r="C18" s="85" t="str">
        <x:v>minute zaključka x blagajne x dnevi</x:v>
      </x:c>
      <x:c r="D18" s="85" t="str">
        <x:v>produktvnost POS</x:v>
      </x:c>
      <x:c r="E18" s="85" t="str">
        <x:v>POS/observacija</x:v>
      </x:c>
      <x:c r="F18" s="86" t="str">
        <x:v>ne šteti znova v splošno administracijo</x:v>
      </x:c>
    </x:row>
    <x:row r="19" ht="24" customHeight="1">
      <x:c r="A19" s="84" t="str">
        <x:v>K15</x:v>
      </x:c>
      <x:c r="B19" s="85" t="str">
        <x:v>Return cost/order</x:v>
      </x:c>
      <x:c r="C19" s="85" t="str">
        <x:v>delo + logistika + pristojbine + odpis</x:v>
      </x:c>
      <x:c r="D19" s="85" t="str">
        <x:v>donosnost vračil</x:v>
      </x:c>
      <x:c r="E19" s="85" t="str">
        <x:v>OMS/finance</x:v>
      </x:c>
      <x:c r="F19" s="86" t="str">
        <x:v>kupnina ni samodejni strošek</x:v>
      </x:c>
    </x:row>
    <x:row r="20" ht="24" customHeight="1">
      <x:c r="A20" s="84" t="str">
        <x:v>K16</x:v>
      </x:c>
      <x:c r="B20" s="85" t="str">
        <x:v>Ročni delež naročil</x:v>
      </x:c>
      <x:c r="C20" s="85" t="str">
        <x:v>ročno vnesena naročila / vsa naročila</x:v>
      </x:c>
      <x:c r="D20" s="85" t="str">
        <x:v>integracije</x:v>
      </x:c>
      <x:c r="E20" s="85" t="str">
        <x:v>OMS/ERP</x:v>
      </x:c>
      <x:c r="F20" s="86" t="str">
        <x:v>po viru naročila</x:v>
      </x:c>
    </x:row>
    <x:row r="21" ht="24" customHeight="1">
      <x:c r="A21" s="84" t="str">
        <x:v>K17</x:v>
      </x:c>
      <x:c r="B21" s="85" t="str">
        <x:v>Čas do aktivacije SKU</x:v>
      </x:c>
      <x:c r="C21" s="85" t="str">
        <x:v>čas od zahteve do prodajnega artikla</x:v>
      </x:c>
      <x:c r="D21" s="85" t="str">
        <x:v>master data</x:v>
      </x:c>
      <x:c r="E21" s="85" t="str">
        <x:v>PIM/ERP</x:v>
      </x:c>
      <x:c r="F21" s="86" t="str">
        <x:v>primerjaj po tipu artikla</x:v>
      </x:c>
    </x:row>
    <x:row r="22" ht="24" customHeight="1">
      <x:c r="A22" s="84" t="str">
        <x:v>K18</x:v>
      </x:c>
      <x:c r="B22" s="85" t="str">
        <x:v>Cena-točnost</x:v>
      </x:c>
      <x:c r="C22" s="85" t="str">
        <x:v>pravilne cene / preverjeni primeri</x:v>
      </x:c>
      <x:c r="D22" s="85" t="str">
        <x:v>marža/skladnost</x:v>
      </x:c>
      <x:c r="E22" s="85" t="str">
        <x:v>POS/polica/splet</x:v>
      </x:c>
      <x:c r="F22" s="86" t="str">
        <x:v>lokacija in kanal</x:v>
      </x:c>
    </x:row>
    <x:row r="23" ht="24" customHeight="1">
      <x:c r="A23" s="84" t="str">
        <x:v>K19</x:v>
      </x:c>
      <x:c r="B23" s="85" t="str">
        <x:v>Delež strukturiranih dokumentov</x:v>
      </x:c>
      <x:c r="C23" s="85" t="str">
        <x:v>e-dokumenti / prejeti dokumenti</x:v>
      </x:c>
      <x:c r="D23" s="85" t="str">
        <x:v>e-poslovanje</x:v>
      </x:c>
      <x:c r="E23" s="85" t="str">
        <x:v>DMS/finance</x:v>
      </x:c>
      <x:c r="F23" s="86" t="str">
        <x:v>B2B e-računi niso B2C računi</x:v>
      </x:c>
    </x:row>
    <x:row r="24" ht="24" customHeight="1">
      <x:c r="A24" s="87" t="str">
        <x:v>K20</x:v>
      </x:c>
      <x:c r="B24" s="88" t="str">
        <x:v>Čas do odkritja odstopanja</x:v>
      </x:c>
      <x:c r="C24" s="88" t="str">
        <x:v>čas od dogodka do zaznanega KPI</x:v>
      </x:c>
      <x:c r="D24" s="88" t="str">
        <x:v>upravljanje</x:v>
      </x:c>
      <x:c r="E24" s="88" t="str">
        <x:v>BI/ERP</x:v>
      </x:c>
      <x:c r="F24" s="89" t="str">
        <x:v>potrebuje lastnika akcije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d48d74f5a5a41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56" hidden="0" customWidth="1"/>
    <x:col min="4" max="4" width="27" hidden="0" customWidth="1"/>
    <x:col min="5" max="5" width="52" hidden="0" customWidth="1"/>
  </x:cols>
  <x:sheetData>
    <x:row r="1" ht="38" customHeight="1">
      <x:c r="A1" s="4" t="str">
        <x:v>Finančne formule in interpretacija</x:v>
      </x:c>
      <x:c r="B1" s="4"/>
      <x:c r="C1" s="4"/>
      <x:c r="D1" s="4"/>
      <x:c r="E1" s="4"/>
    </x:row>
    <x:row r="2" ht="34" customHeight="1">
      <x:c r="A2" s="52" t="str">
        <x:v>Formule so zapisane za audit in kasnejšo implementacijo kalkulatorja. Pri vsaki je ločen učinek na maržo, kapaciteto, kapital, denar ali ROI.</x:v>
      </x:c>
      <x:c r="B2" s="52"/>
      <x:c r="C2" s="52"/>
      <x:c r="D2" s="52"/>
      <x:c r="E2" s="52"/>
    </x:row>
    <x:row r="4" ht="28" customHeight="1">
      <x:c r="A4" s="59" t="str">
        <x:v>ID</x:v>
      </x:c>
      <x:c r="B4" s="60" t="str">
        <x:v>Metrika</x:v>
      </x:c>
      <x:c r="C4" s="60" t="str">
        <x:v>Formula</x:v>
      </x:c>
      <x:c r="D4" s="60" t="str">
        <x:v>Rezultat</x:v>
      </x:c>
      <x:c r="E4" s="61" t="str">
        <x:v>Pravilo interpretacije</x:v>
      </x:c>
    </x:row>
    <x:row r="5" ht="24" customHeight="1">
      <x:c r="A5" s="81" t="str">
        <x:v>F01</x:v>
      </x:c>
      <x:c r="B5" s="82" t="str">
        <x:v>Izgubljena marža zaradi stockouta</x:v>
      </x:c>
      <x:c r="C5" s="82" t="str">
        <x:v>izgubljena prodaja x prispevna marža x (1 − nadomestni/odloženi nakup)</x:v>
      </x:c>
      <x:c r="D5" s="82" t="str">
        <x:v>marža</x:v>
      </x:c>
      <x:c r="E5" s="83" t="str">
        <x:v>loči poslovalnico od spletne odpovedi</x:v>
      </x:c>
    </x:row>
    <x:row r="6" ht="24" customHeight="1">
      <x:c r="A6" s="84" t="str">
        <x:v>F02</x:v>
      </x:c>
      <x:c r="B6" s="85" t="str">
        <x:v>Sprostljiv kapital</x:v>
      </x:c>
      <x:c r="C6" s="85" t="str">
        <x:v>povprečna zaloga po nabavni vrednosti x realno zmanjšljivi delež</x:v>
      </x:c>
      <x:c r="D6" s="85" t="str">
        <x:v>enkraten denarni učinek</x:v>
      </x:c>
      <x:c r="E6" s="86" t="str">
        <x:v>ni letni prihranek</x:v>
      </x:c>
    </x:row>
    <x:row r="7" ht="24" customHeight="1">
      <x:c r="A7" s="84" t="str">
        <x:v>F03</x:v>
      </x:c>
      <x:c r="B7" s="85" t="str">
        <x:v>Letni strošek kapitala</x:v>
      </x:c>
      <x:c r="C7" s="85" t="str">
        <x:v>sprostljiv kapital x strošek financiranja</x:v>
      </x:c>
      <x:c r="D7" s="85" t="str">
        <x:v>letni prihranek</x:v>
      </x:c>
      <x:c r="E7" s="86" t="str">
        <x:v>ne seštevaj ga s celotnim kapitalom kot dveh letnih koristi</x:v>
      </x:c>
    </x:row>
    <x:row r="8" ht="24" customHeight="1">
      <x:c r="A8" s="84" t="str">
        <x:v>F04</x:v>
      </x:c>
      <x:c r="B8" s="85" t="str">
        <x:v>Vrednost avtomatizabilnega časa</x:v>
      </x:c>
      <x:c r="C8" s="85" t="str">
        <x:v>ure x polni strošek ure x avtomatizabilni delež</x:v>
      </x:c>
      <x:c r="D8" s="85" t="str">
        <x:v>ekonomska vrednost kapacitete</x:v>
      </x:c>
      <x:c r="E8" s="86" t="str">
        <x:v>še ni denarni prihranek</x:v>
      </x:c>
    </x:row>
    <x:row r="9" ht="24" customHeight="1">
      <x:c r="A9" s="84" t="str">
        <x:v>F05</x:v>
      </x:c>
      <x:c r="B9" s="85" t="str">
        <x:v>Realno izkoristljiva kapaciteta</x:v>
      </x:c>
      <x:c r="C9" s="85" t="str">
        <x:v>vrednost avtomatizabilnega časa x delež materializacije</x:v>
      </x:c>
      <x:c r="D9" s="85" t="str">
        <x:v>letna korist</x:v>
      </x:c>
      <x:c r="E9" s="86" t="str">
        <x:v>materializacija = nadure, zunanji strošek ali dodatna prodaja</x:v>
      </x:c>
    </x:row>
    <x:row r="10" ht="24" customHeight="1">
      <x:c r="A10" s="84" t="str">
        <x:v>F06</x:v>
      </x:c>
      <x:c r="B10" s="85" t="str">
        <x:v>Strošek vračil</x:v>
      </x:c>
      <x:c r="C10" s="85" t="str">
        <x:v>št. vračil x (delo + povratna logistika + nevrnjene pristojbine + odpis/markdown) + prevare</x:v>
      </x:c>
      <x:c r="D10" s="85" t="str">
        <x:v>neposredna letna izguba</x:v>
      </x:c>
      <x:c r="E10" s="86" t="str">
        <x:v>kupnina se lahko ponovno spremeni v prodajo</x:v>
      </x:c>
    </x:row>
    <x:row r="11" ht="24" customHeight="1">
      <x:c r="A11" s="84" t="str">
        <x:v>F07</x:v>
      </x:c>
      <x:c r="B11" s="85" t="str">
        <x:v>Naslovljiva letna korist</x:v>
      </x:c>
      <x:c r="C11" s="85" t="str">
        <x:v>(neposredna izguba + materializirana kapaciteta + financiranje) x naslovljivi delež x izboljšanje</x:v>
      </x:c>
      <x:c r="D11" s="85" t="str">
        <x:v>letna korist</x:v>
      </x:c>
      <x:c r="E11" s="86" t="str">
        <x:v>vzrok določa naslovljivi delež</x:v>
      </x:c>
    </x:row>
    <x:row r="12" ht="24" customHeight="1">
      <x:c r="A12" s="84" t="str">
        <x:v>F08</x:v>
      </x:c>
      <x:c r="B12" s="85" t="str">
        <x:v>Učinek prvega leta</x:v>
      </x:c>
      <x:c r="C12" s="85" t="str">
        <x:v>ramp-up x stabilna letna korist − letni TCO − enkratni strošek</x:v>
      </x:c>
      <x:c r="D12" s="85" t="str">
        <x:v>prvo leto</x:v>
      </x:c>
      <x:c r="E12" s="86" t="str">
        <x:v>ramp-up mora biti ločen od stabilnega leta</x:v>
      </x:c>
    </x:row>
    <x:row r="13" ht="24" customHeight="1">
      <x:c r="A13" s="84" t="str">
        <x:v>F09</x:v>
      </x:c>
      <x:c r="B13" s="85" t="str">
        <x:v>Denarni učinek prvega leta</x:v>
      </x:c>
      <x:c r="C13" s="85" t="str">
        <x:v>ramp-up x stabilna letna korist + sproščen kapital − letni TCO − enkratni strošek</x:v>
      </x:c>
      <x:c r="D13" s="85" t="str">
        <x:v>prvo leto z denarjem</x:v>
      </x:c>
      <x:c r="E13" s="86" t="str">
        <x:v>prikaži ga ločeno</x:v>
      </x:c>
    </x:row>
    <x:row r="14" ht="24" customHeight="1">
      <x:c r="A14" s="84" t="str">
        <x:v>F10</x:v>
      </x:c>
      <x:c r="B14" s="85" t="str">
        <x:v>3-letni ROI</x:v>
      </x:c>
      <x:c r="C14" s="85" t="str">
        <x:v>(koristi v 3 letih − TCO v 3 letih) / TCO v 3 letih</x:v>
      </x:c>
      <x:c r="D14" s="85" t="str">
        <x:v>%</x:v>
      </x:c>
      <x:c r="E14" s="86" t="str">
        <x:v>navedi, ali vključuje kapital</x:v>
      </x:c>
    </x:row>
    <x:row r="15" ht="24" customHeight="1">
      <x:c r="A15" s="84" t="str">
        <x:v>F11</x:v>
      </x:c>
      <x:c r="B15" s="85" t="str">
        <x:v>Zanesljivost rezultata</x:v>
      </x:c>
      <x:c r="C15" s="85" t="str">
        <x:v>vsota(strošek_i x zanesljivost_i) / vsota(strošek_i)</x:v>
      </x:c>
      <x:c r="D15" s="85" t="str">
        <x:v>0–100%</x:v>
      </x:c>
      <x:c r="E15" s="86" t="str">
        <x:v>tehtaj po finančnem pomenu, ne številu odgovorov</x:v>
      </x:c>
    </x:row>
    <x:row r="16" ht="24" customHeight="1">
      <x:c r="A16" s="87" t="str">
        <x:v>F12</x:v>
      </x:c>
      <x:c r="B16" s="88" t="str">
        <x:v>Payback</x:v>
      </x:c>
      <x:c r="C16" s="88" t="str">
        <x:v>preostanek enkratnega stroška / mesečna stabilna neto korist</x:v>
      </x:c>
      <x:c r="D16" s="88" t="str">
        <x:v>meseci</x:v>
      </x:c>
      <x:c r="E16" s="89" t="str">
        <x:v>če stabilna neto korist ni pozitivna: n.m.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773e4d407c04a3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42" hidden="0" customWidth="1"/>
    <x:col min="4" max="4" width="18" hidden="0" customWidth="1"/>
    <x:col min="5" max="5" width="52" hidden="0" customWidth="1"/>
    <x:col min="6" max="6" width="42" hidden="0" customWidth="1"/>
  </x:cols>
  <x:sheetData>
    <x:row r="1" ht="38" customHeight="1">
      <x:c r="A1" s="4" t="str">
        <x:v>Bolečina → rešitev → dokaz</x:v>
      </x:c>
      <x:c r="B1" s="4"/>
      <x:c r="C1" s="4"/>
      <x:c r="D1" s="4"/>
      <x:c r="E1" s="4"/>
      <x:c r="F1" s="4"/>
    </x:row>
    <x:row r="2" ht="34" customHeight="1">
      <x:c r="A2" s="52" t="str">
        <x:v>Zemljevid pokaže, kateri del težave je naslovljiv s PANTHEON jedrom, kaj zahteva integracijo oziroma partnerja in kaj je treba dokazati pred obljubo učinka.</x:v>
      </x:c>
      <x:c r="B2" s="52"/>
      <x:c r="C2" s="52"/>
      <x:c r="D2" s="52"/>
      <x:c r="E2" s="52"/>
      <x:c r="F2" s="52"/>
    </x:row>
    <x:row r="4" ht="28" customHeight="1">
      <x:c r="A4" s="59" t="str">
        <x:v>Modul</x:v>
      </x:c>
      <x:c r="B4" s="60" t="str">
        <x:v>Bolečina</x:v>
      </x:c>
      <x:c r="C4" s="60" t="str">
        <x:v>Relevantna sposobnost</x:v>
      </x:c>
      <x:c r="D4" s="60" t="str">
        <x:v>Pokritost</x:v>
      </x:c>
      <x:c r="E4" s="60" t="str">
        <x:v>Meja obljube</x:v>
      </x:c>
      <x:c r="F4" s="61" t="str">
        <x:v>Naslednji dokaz</x:v>
      </x:c>
    </x:row>
    <x:row r="5" ht="24" customHeight="1">
      <x:c r="A5" s="81" t="str">
        <x:v>M01</x:v>
      </x:c>
      <x:c r="B5" s="82" t="str">
        <x:v>Razpoložljivost / prazne police</x:v>
      </x:c>
      <x:c r="C5" s="82" t="str">
        <x:v>zaloga po lokaciji, naročila, pregled prodaje</x:v>
      </x:c>
      <x:c r="D5" s="82" t="str">
        <x:v>srednja–visoka</x:v>
      </x:c>
      <x:c r="E5" s="82" t="str">
        <x:v>ne more garantirati povpraševanja ali dobavitelja</x:v>
      </x:c>
      <x:c r="F5" s="83" t="str">
        <x:v>izvoz stockoutov, lead time, substitution</x:v>
      </x:c>
    </x:row>
    <x:row r="6" ht="24" customHeight="1">
      <x:c r="A6" s="84" t="str">
        <x:v>M02</x:v>
      </x:c>
      <x:c r="B6" s="85" t="str">
        <x:v>Presežna zaloga / odpisi / markdown</x:v>
      </x:c>
      <x:c r="C6" s="85" t="str">
        <x:v>pregled zaloge, prodaje, ceniki, inventura</x:v>
      </x:c>
      <x:c r="D6" s="85" t="str">
        <x:v>srednja</x:v>
      </x:c>
      <x:c r="E6" s="85" t="str">
        <x:v>asortiment in popusti zahtevajo komercialno odločitev</x:v>
      </x:c>
      <x:c r="F6" s="86" t="str">
        <x:v>starost zaloge, odpisi, markdown</x:v>
      </x:c>
    </x:row>
    <x:row r="7" ht="24" customHeight="1">
      <x:c r="A7" s="84" t="str">
        <x:v>M03</x:v>
      </x:c>
      <x:c r="B7" s="85" t="str">
        <x:v>Nabava / dobaviteljski pogoji</x:v>
      </x:c>
      <x:c r="C7" s="85" t="str">
        <x:v>nabavna naročila, statusi, stroški, dobavitelji</x:v>
      </x:c>
      <x:c r="D7" s="85" t="str">
        <x:v>srednja–visoka</x:v>
      </x:c>
      <x:c r="E7" s="85" t="str">
        <x:v>slab dobavitelj ostaja zunanji vzrok</x:v>
      </x:c>
      <x:c r="F7" s="86" t="str">
        <x:v>OTIF, rabati, razlike</x:v>
      </x:c>
    </x:row>
    <x:row r="8" ht="24" customHeight="1">
      <x:c r="A8" s="84" t="str">
        <x:v>M04</x:v>
      </x:c>
      <x:c r="B8" s="85" t="str">
        <x:v>Cene / akcije / marže</x:v>
      </x:c>
      <x:c r="C8" s="85" t="str">
        <x:v>ceniki, popusti, poročanje</x:v>
      </x:c>
      <x:c r="D8" s="85" t="str">
        <x:v>visoka</x:v>
      </x:c>
      <x:c r="E8" s="85" t="str">
        <x:v>kompleksna promotions engine pravila preveri</x:v>
      </x:c>
      <x:c r="F8" s="86" t="str">
        <x:v>vzorci cen po kanalu</x:v>
      </x:c>
    </x:row>
    <x:row r="9" ht="24" customHeight="1">
      <x:c r="A9" s="84" t="str">
        <x:v>M05</x:v>
      </x:c>
      <x:c r="B9" s="85" t="str">
        <x:v>Prevzem / prenosi / sledljivost</x:v>
      </x:c>
      <x:c r="C9" s="85" t="str">
        <x:v>skenerji, inventura, dokumenti, zaloga</x:v>
      </x:c>
      <x:c r="D9" s="85" t="str">
        <x:v>visoka</x:v>
      </x:c>
      <x:c r="E9" s="85" t="str">
        <x:v>loti/serije/FEFO potrdi po konfiguraciji</x:v>
      </x:c>
      <x:c r="F9" s="86" t="str">
        <x:v>vzorec prevzema in prenosa</x:v>
      </x:c>
    </x:row>
    <x:row r="10" ht="24" customHeight="1">
      <x:c r="A10" s="84" t="str">
        <x:v>M06</x:v>
      </x:c>
      <x:c r="B10" s="85" t="str">
        <x:v>Blagajna / zaključki / plačila</x:v>
      </x:c>
      <x:c r="C10" s="85" t="str">
        <x:v>Retail POS, zaključki, povezava POS terminalov</x:v>
      </x:c>
      <x:c r="D10" s="85" t="str">
        <x:v>visoka</x:v>
      </x:c>
      <x:c r="E10" s="85" t="str">
        <x:v>offline in naprave preveri</x:v>
      </x:c>
      <x:c r="F10" s="86" t="str">
        <x:v>čas zaključkov, razlike, izpadi</x:v>
      </x:c>
    </x:row>
    <x:row r="11" ht="24" customHeight="1">
      <x:c r="A11" s="84" t="str">
        <x:v>M07</x:v>
      </x:c>
      <x:c r="B11" s="85" t="str">
        <x:v>Inventurni manko / točnost</x:v>
      </x:c>
      <x:c r="C11" s="85" t="str">
        <x:v>inventurna granula, skeniranje, računovodski prenos</x:v>
      </x:c>
      <x:c r="D11" s="85" t="str">
        <x:v>srednja</x:v>
      </x:c>
      <x:c r="E11" s="85" t="str">
        <x:v>kraja zahteva fizične in organizacijske ukrepe</x:v>
      </x:c>
      <x:c r="F11" s="86" t="str">
        <x:v>zadnja inventura po vzroku</x:v>
      </x:c>
    </x:row>
    <x:row r="12" ht="24" customHeight="1">
      <x:c r="A12" s="84" t="str">
        <x:v>M08</x:v>
      </x:c>
      <x:c r="B12" s="85" t="str">
        <x:v>Spletna prodaja / fulfilment / vračila</x:v>
      </x:c>
      <x:c r="C12" s="85" t="str">
        <x:v>eBusiness, dokumenti, partnerji/konektorji</x:v>
      </x:c>
      <x:c r="D12" s="85" t="str">
        <x:v>srednja</x:v>
      </x:c>
      <x:c r="E12" s="85" t="str">
        <x:v>integracija ni avtomatsko osnovna licenca</x:v>
      </x:c>
      <x:c r="F12" s="86" t="str">
        <x:v>10 odpovedi/vračil, katalog konektorjev</x:v>
      </x:c>
    </x:row>
    <x:row r="13" ht="24" customHeight="1">
      <x:c r="A13" s="84" t="str">
        <x:v>M09</x:v>
      </x:c>
      <x:c r="B13" s="85" t="str">
        <x:v>Kadri / razporedi / evidence</x:v>
      </x:c>
      <x:c r="C13" s="85" t="str">
        <x:v>HR/plače in procesne evidence</x:v>
      </x:c>
      <x:c r="D13" s="85" t="str">
        <x:v>srednja</x:v>
      </x:c>
      <x:c r="E13" s="85" t="str">
        <x:v>optimizacija razporeda je ločen problem</x:v>
      </x:c>
      <x:c r="F13" s="86" t="str">
        <x:v>ure, popravki, nadure</x:v>
      </x:c>
    </x:row>
    <x:row r="14" ht="24" customHeight="1">
      <x:c r="A14" s="84" t="str">
        <x:v>M10</x:v>
      </x:c>
      <x:c r="B14" s="85" t="str">
        <x:v>Analitika / poročanje</x:v>
      </x:c>
      <x:c r="C14" s="85" t="str">
        <x:v>poročila po artiklu, lokaciji in blagajniku</x:v>
      </x:c>
      <x:c r="D14" s="85" t="str">
        <x:v>visoka</x:v>
      </x:c>
      <x:c r="E14" s="85" t="str">
        <x:v>KPI potrebujejo enotno definicijo in lastnika</x:v>
      </x:c>
      <x:c r="F14" s="86" t="str">
        <x:v>obstoječi reporti in Exceli</x:v>
      </x:c>
    </x:row>
    <x:row r="15" ht="24" customHeight="1">
      <x:c r="A15" s="84" t="str">
        <x:v>M11</x:v>
      </x:c>
      <x:c r="B15" s="85" t="str">
        <x:v>Dokumenti / finance / e-poslovanje</x:v>
      </x:c>
      <x:c r="C15" s="85" t="str">
        <x:v>eSlog, e-računi, dokumenti, računovodstvo</x:v>
      </x:c>
      <x:c r="D15" s="85" t="str">
        <x:v>visoka</x:v>
      </x:c>
      <x:c r="E15" s="85" t="str">
        <x:v>OCR/approval/format partnerja preveri</x:v>
      </x:c>
      <x:c r="F15" s="86" t="str">
        <x:v>delež e-dokumentov, ročni vnosi</x:v>
      </x:c>
    </x:row>
    <x:row r="16" ht="24" customHeight="1">
      <x:c r="A16" s="87" t="str">
        <x:v>M12</x:v>
      </x:c>
      <x:c r="B16" s="88" t="str">
        <x:v>Reklamacije / garancije / servis</x:v>
      </x:c>
      <x:c r="C16" s="88" t="str">
        <x:v>dokumenti, serije, prodajna sled</x:v>
      </x:c>
      <x:c r="D16" s="88" t="str">
        <x:v>srednja</x:v>
      </x:c>
      <x:c r="E16" s="88" t="str">
        <x:v>specialistični servis/RMA lahko zahteva partnerja</x:v>
      </x:c>
      <x:c r="F16" s="89" t="str">
        <x:v>primeri brez računa ali serije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ab31d8331a242f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7" hidden="0" customWidth="1"/>
    <x:col min="3" max="3" width="18" hidden="0" customWidth="1"/>
    <x:col min="4" max="4" width="34" hidden="0" customWidth="1"/>
    <x:col min="5" max="5" width="54" hidden="0" customWidth="1"/>
    <x:col min="6" max="6" width="12" hidden="0" customWidth="1"/>
  </x:cols>
  <x:sheetData>
    <x:row r="1" ht="38" customHeight="1">
      <x:c r="A1" s="4" t="str">
        <x:v>PANTHEON in ekosistemski zemljevid</x:v>
      </x:c>
      <x:c r="B1" s="4"/>
      <x:c r="C1" s="4"/>
      <x:c r="D1" s="4"/>
      <x:c r="E1" s="4"/>
      <x:c r="F1" s="4"/>
    </x:row>
    <x:row r="2" ht="34" customHeight="1">
      <x:c r="A2" s="52" t="str">
        <x:v>Gre za javno potrjene produktne navedbe in procesno sintezo. Konkreten licenčni, funkcionalni in integracijski scope je treba potrditi v ponudbi.</x:v>
      </x:c>
      <x:c r="B2" s="52"/>
      <x:c r="C2" s="52"/>
      <x:c r="D2" s="52"/>
      <x:c r="E2" s="52"/>
      <x:c r="F2" s="52"/>
    </x:row>
    <x:row r="4" ht="28" customHeight="1">
      <x:c r="A4" s="59" t="str">
        <x:v>ID</x:v>
      </x:c>
      <x:c r="B4" s="60" t="str">
        <x:v>Poslovna potreba</x:v>
      </x:c>
      <x:c r="C4" s="60" t="str">
        <x:v>Pokritost</x:v>
      </x:c>
      <x:c r="D4" s="60" t="str">
        <x:v>Jedro/ekosistem</x:v>
      </x:c>
      <x:c r="E4" s="60" t="str">
        <x:v>Kaj preveriti</x:v>
      </x:c>
      <x:c r="F4" s="61" t="str">
        <x:v>Vir</x:v>
      </x:c>
    </x:row>
    <x:row r="5" ht="24" customHeight="1">
      <x:c r="A5" s="81" t="str">
        <x:v>PM01</x:v>
      </x:c>
      <x:c r="B5" s="82" t="str">
        <x:v>POS, računi, zaključki in plačila</x:v>
      </x:c>
      <x:c r="C5" s="82" t="str">
        <x:v>visoka</x:v>
      </x:c>
      <x:c r="D5" s="82" t="str">
        <x:v>PANTHEON Retail</x:v>
      </x:c>
      <x:c r="E5" s="82" t="str">
        <x:v>model naprav, FURS, offline, terminali</x:v>
      </x:c>
      <x:c r="F5" s="83" t="str">
        <x:v>PANT-01</x:v>
      </x:c>
    </x:row>
    <x:row r="6" ht="24" customHeight="1">
      <x:c r="A6" s="84" t="str">
        <x:v>PM02</x:v>
      </x:c>
      <x:c r="B6" s="85" t="str">
        <x:v>Zaloga po lokacijah in prenosi</x:v>
      </x:c>
      <x:c r="C6" s="85" t="str">
        <x:v>visoka</x:v>
      </x:c>
      <x:c r="D6" s="85" t="str">
        <x:v>Retail + skladišče</x:v>
      </x:c>
      <x:c r="E6" s="85" t="str">
        <x:v>fizični tok, barkode, odgovornosti</x:v>
      </x:c>
      <x:c r="F6" s="86" t="str">
        <x:v>PANT-01</x:v>
      </x:c>
    </x:row>
    <x:row r="7" ht="24" customHeight="1">
      <x:c r="A7" s="84" t="str">
        <x:v>PM03</x:v>
      </x:c>
      <x:c r="B7" s="85" t="str">
        <x:v>Ceniki, akcije in popusti</x:v>
      </x:c>
      <x:c r="C7" s="85" t="str">
        <x:v>visoka</x:v>
      </x:c>
      <x:c r="D7" s="85" t="str">
        <x:v>Retail</x:v>
      </x:c>
      <x:c r="E7" s="85" t="str">
        <x:v>promocijska pravila, kanali, zgodovina cen</x:v>
      </x:c>
      <x:c r="F7" s="86" t="str">
        <x:v>PANT-01</x:v>
      </x:c>
    </x:row>
    <x:row r="8" ht="24" customHeight="1">
      <x:c r="A8" s="84" t="str">
        <x:v>PM04</x:v>
      </x:c>
      <x:c r="B8" s="85" t="str">
        <x:v>Inventura in skener</x:v>
      </x:c>
      <x:c r="C8" s="85" t="str">
        <x:v>visoka</x:v>
      </x:c>
      <x:c r="D8" s="85" t="str">
        <x:v>Warehouse Inventory Granule</x:v>
      </x:c>
      <x:c r="E8" s="85" t="str">
        <x:v>mobilna oprema, serije/loti, rollout</x:v>
      </x:c>
      <x:c r="F8" s="86" t="str">
        <x:v>PANT-03</x:v>
      </x:c>
    </x:row>
    <x:row r="9" ht="24" customHeight="1">
      <x:c r="A9" s="84" t="str">
        <x:v>PM05</x:v>
      </x:c>
      <x:c r="B9" s="85" t="str">
        <x:v>Nabavna/prodajna naročila</x:v>
      </x:c>
      <x:c r="C9" s="85" t="str">
        <x:v>visoka</x:v>
      </x:c>
      <x:c r="D9" s="85" t="str">
        <x:v>Sales and Purchase Orders</x:v>
      </x:c>
      <x:c r="E9" s="85" t="str">
        <x:v>forecast, EDI, planiranje</x:v>
      </x:c>
      <x:c r="F9" s="86" t="str">
        <x:v>PANT-02</x:v>
      </x:c>
    </x:row>
    <x:row r="10" ht="24" customHeight="1">
      <x:c r="A10" s="84" t="str">
        <x:v>PM06</x:v>
      </x:c>
      <x:c r="B10" s="85" t="str">
        <x:v>Dokumenti in e-računi</x:v>
      </x:c>
      <x:c r="C10" s="85" t="str">
        <x:v>visoka–srednja</x:v>
      </x:c>
      <x:c r="D10" s="85" t="str">
        <x:v>eBusiness / dokumenti</x:v>
      </x:c>
      <x:c r="E10" s="85" t="str">
        <x:v>format partnerjev, OCR, approval</x:v>
      </x:c>
      <x:c r="F10" s="86" t="str">
        <x:v>PANT-04</x:v>
      </x:c>
    </x:row>
    <x:row r="11" ht="24" customHeight="1">
      <x:c r="A11" s="84" t="str">
        <x:v>PM07</x:v>
      </x:c>
      <x:c r="B11" s="85" t="str">
        <x:v>Spletna trgovina</x:v>
      </x:c>
      <x:c r="C11" s="85" t="str">
        <x:v>srednja</x:v>
      </x:c>
      <x:c r="D11" s="85" t="str">
        <x:v>partnerji / eBusiness</x:v>
      </x:c>
      <x:c r="E11" s="85" t="str">
        <x:v>konkreten konektor, OMS/WMS, lastnik integracije</x:v>
      </x:c>
      <x:c r="F11" s="86" t="str">
        <x:v>PANT-04</x:v>
      </x:c>
    </x:row>
    <x:row r="12" ht="24" customHeight="1">
      <x:c r="A12" s="84" t="str">
        <x:v>PM08</x:v>
      </x:c>
      <x:c r="B12" s="85" t="str">
        <x:v>Dostava in kurirji</x:v>
      </x:c>
      <x:c r="C12" s="85" t="str">
        <x:v>srednja</x:v>
      </x:c>
      <x:c r="D12" s="85" t="str">
        <x:v>integracija/partner</x:v>
      </x:c>
      <x:c r="E12" s="85" t="str">
        <x:v>SLA, etikete, povratna logistika</x:v>
      </x:c>
      <x:c r="F12" s="86" t="str">
        <x:v>PANT-04</x:v>
      </x:c>
    </x:row>
    <x:row r="13" ht="24" customHeight="1">
      <x:c r="A13" s="84" t="str">
        <x:v>PM09</x:v>
      </x:c>
      <x:c r="B13" s="85" t="str">
        <x:v>Napredni WMS/slotting/wave picking</x:v>
      </x:c>
      <x:c r="C13" s="85" t="str">
        <x:v>omejena–srednja</x:v>
      </x:c>
      <x:c r="D13" s="85" t="str">
        <x:v>odvisno od scope</x:v>
      </x:c>
      <x:c r="E13" s="85" t="str">
        <x:v>specialistični WMS in velikost skladišča</x:v>
      </x:c>
      <x:c r="F13" s="86" t="str">
        <x:v>GAP-01</x:v>
      </x:c>
    </x:row>
    <x:row r="14" ht="24" customHeight="1">
      <x:c r="A14" s="84" t="str">
        <x:v>PM10</x:v>
      </x:c>
      <x:c r="B14" s="85" t="str">
        <x:v>CRM/loyalty/personalizacija</x:v>
      </x:c>
      <x:c r="C14" s="85" t="str">
        <x:v>omejena</x:v>
      </x:c>
      <x:c r="D14" s="85" t="str">
        <x:v>partner ali ločena rešitev</x:v>
      </x:c>
      <x:c r="E14" s="85" t="str">
        <x:v>sistem stranke in marketing stack</x:v>
      </x:c>
      <x:c r="F14" s="86" t="str">
        <x:v>GAP-01</x:v>
      </x:c>
    </x:row>
    <x:row r="15" ht="24" customHeight="1">
      <x:c r="A15" s="84" t="str">
        <x:v>PM11</x:v>
      </x:c>
      <x:c r="B15" s="85" t="str">
        <x:v>Preprečevanje kraje</x:v>
      </x:c>
      <x:c r="C15" s="85" t="str">
        <x:v>nizka neposredno</x:v>
      </x:c>
      <x:c r="D15" s="85" t="str">
        <x:v>uporabniške sledi / poročanje</x:v>
      </x:c>
      <x:c r="E15" s="85" t="str">
        <x:v>fizična varnost, politika, preiskava</x:v>
      </x:c>
      <x:c r="F15" s="86" t="str">
        <x:v>GAP-01</x:v>
      </x:c>
    </x:row>
    <x:row r="16" ht="24" customHeight="1">
      <x:c r="A16" s="84" t="str">
        <x:v>PM12</x:v>
      </x:c>
      <x:c r="B16" s="85" t="str">
        <x:v>Demand sensing/AI forecast</x:v>
      </x:c>
      <x:c r="C16" s="85" t="str">
        <x:v>odvisno</x:v>
      </x:c>
      <x:c r="D16" s="85" t="str">
        <x:v>odvisno od scope</x:v>
      </x:c>
      <x:c r="E16" s="85" t="str">
        <x:v>podatki, model, partner, governance</x:v>
      </x:c>
      <x:c r="F16" s="86" t="str">
        <x:v>GAP-01</x:v>
      </x:c>
    </x:row>
    <x:row r="17" ht="24" customHeight="1">
      <x:c r="A17" s="84" t="str">
        <x:v>PM13</x:v>
      </x:c>
      <x:c r="B17" s="85" t="str">
        <x:v>Računovodstvo in DDV</x:v>
      </x:c>
      <x:c r="C17" s="85" t="str">
        <x:v>visoka</x:v>
      </x:c>
      <x:c r="D17" s="85" t="str">
        <x:v>ERP/finance</x:v>
      </x:c>
      <x:c r="E17" s="85" t="str">
        <x:v>kontni plan, pravila, obseg migracije</x:v>
      </x:c>
      <x:c r="F17" s="86" t="str">
        <x:v>PANT-04</x:v>
      </x:c>
    </x:row>
    <x:row r="18" ht="24" customHeight="1">
      <x:c r="A18" s="87" t="str">
        <x:v>PM14</x:v>
      </x:c>
      <x:c r="B18" s="88" t="str">
        <x:v>Pravice in uporabniške sledi</x:v>
      </x:c>
      <x:c r="C18" s="88" t="str">
        <x:v>visoka</x:v>
      </x:c>
      <x:c r="D18" s="88" t="str">
        <x:v>Retail</x:v>
      </x:c>
      <x:c r="E18" s="88" t="str">
        <x:v>vloge, izjeme in revizijska pravila</x:v>
      </x:c>
      <x:c r="F18" s="89" t="str">
        <x:v>PANT-01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2524eb25e5b413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54" hidden="0" customWidth="1"/>
    <x:col min="4" max="4" width="20" hidden="0" customWidth="1"/>
    <x:col min="5" max="5" width="25" hidden="0" customWidth="1"/>
    <x:col min="6" max="6" width="46" hidden="0" customWidth="1"/>
  </x:cols>
  <x:sheetData>
    <x:row r="1" ht="38" customHeight="1">
      <x:c r="A1" s="4" t="str">
        <x:v>Predpogoji za funkcionalni učinek</x:v>
      </x:c>
      <x:c r="B1" s="4"/>
      <x:c r="C1" s="4"/>
      <x:c r="D1" s="4"/>
      <x:c r="E1" s="4"/>
      <x:c r="F1" s="4"/>
    </x:row>
    <x:row r="2" ht="34" customHeight="1">
      <x:c r="A2" s="52" t="str">
        <x:v>Funkcionalnost ustvari učinek šele, ko so podatki, lastniki, naprave, procesi in testni scenariji pripravljeni. Ta list je osnova za implementacijski discovery.</x:v>
      </x:c>
      <x:c r="B2" s="52"/>
      <x:c r="C2" s="52"/>
      <x:c r="D2" s="52"/>
      <x:c r="E2" s="52"/>
      <x:c r="F2" s="52"/>
    </x:row>
    <x:row r="4" ht="28" customHeight="1">
      <x:c r="A4" s="59" t="str">
        <x:v>ID</x:v>
      </x:c>
      <x:c r="B4" s="60" t="str">
        <x:v>Predpogoj</x:v>
      </x:c>
      <x:c r="C4" s="60" t="str">
        <x:v>Kaj mora obstajati</x:v>
      </x:c>
      <x:c r="D4" s="60" t="str">
        <x:v>Kdaj</x:v>
      </x:c>
      <x:c r="E4" s="60" t="str">
        <x:v>Lastnik</x:v>
      </x:c>
      <x:c r="F4" s="61" t="str">
        <x:v>Tveganje brez predpogoja</x:v>
      </x:c>
    </x:row>
    <x:row r="5" ht="24" customHeight="1">
      <x:c r="A5" s="81" t="str">
        <x:v>PR01</x:v>
      </x:c>
      <x:c r="B5" s="82" t="str">
        <x:v>Enotni šifranti artiklov</x:v>
      </x:c>
      <x:c r="C5" s="82" t="str">
        <x:v>šifra, EAN, enota, davčna stopnja, kategorija</x:v>
      </x:c>
      <x:c r="D5" s="82" t="str">
        <x:v>Pred temeljno migracijo</x:v>
      </x:c>
      <x:c r="E5" s="82" t="str">
        <x:v>lastnik master data</x:v>
      </x:c>
      <x:c r="F5" s="83" t="str">
        <x:v>podvojeni SKU in napačne enote</x:v>
      </x:c>
    </x:row>
    <x:row r="6" ht="24" customHeight="1">
      <x:c r="A6" s="84" t="str">
        <x:v>PR02</x:v>
      </x:c>
      <x:c r="B6" s="85" t="str">
        <x:v>Lokacije in odgovornosti</x:v>
      </x:c>
      <x:c r="C6" s="85" t="str">
        <x:v>poslovalnica, skladišče, blagajna, uporabnik</x:v>
      </x:c>
      <x:c r="D6" s="85" t="str">
        <x:v>Pred pilotom</x:v>
      </x:c>
      <x:c r="E6" s="85" t="str">
        <x:v>retail/warehouse lead</x:v>
      </x:c>
      <x:c r="F6" s="86" t="str">
        <x:v>zaloga nima jasne lokacije</x:v>
      </x:c>
    </x:row>
    <x:row r="7" ht="24" customHeight="1">
      <x:c r="A7" s="84" t="str">
        <x:v>PR03</x:v>
      </x:c>
      <x:c r="B7" s="85" t="str">
        <x:v>Ceniki in promocije</x:v>
      </x:c>
      <x:c r="C7" s="85" t="str">
        <x:v>kanal, lokacija, datum veljavnosti, test primeri</x:v>
      </x:c>
      <x:c r="D7" s="85" t="str">
        <x:v>Pred rolloutom</x:v>
      </x:c>
      <x:c r="E7" s="85" t="str">
        <x:v>komercialni lastnik</x:v>
      </x:c>
      <x:c r="F7" s="86" t="str">
        <x:v>napačna cena na POS ali spletu</x:v>
      </x:c>
    </x:row>
    <x:row r="8" ht="24" customHeight="1">
      <x:c r="A8" s="84" t="str">
        <x:v>PR04</x:v>
      </x:c>
      <x:c r="B8" s="85" t="str">
        <x:v>Začetno stanje zalog</x:v>
      </x:c>
      <x:c r="C8" s="85" t="str">
        <x:v>količina, vrednost, serija/lot/rok kjer velja</x:v>
      </x:c>
      <x:c r="D8" s="85" t="str">
        <x:v>Pred cutoverjem</x:v>
      </x:c>
      <x:c r="E8" s="85" t="str">
        <x:v>finance + skladišče</x:v>
      </x:c>
      <x:c r="F8" s="86" t="str">
        <x:v>napačen opening balance</x:v>
      </x:c>
    </x:row>
    <x:row r="9" ht="24" customHeight="1">
      <x:c r="A9" s="84" t="str">
        <x:v>PR05</x:v>
      </x:c>
      <x:c r="B9" s="85" t="str">
        <x:v>POS periferija</x:v>
      </x:c>
      <x:c r="C9" s="85" t="str">
        <x:v>terminal, tiskalnik, skener, tehtnica, omrežje</x:v>
      </x:c>
      <x:c r="D9" s="85" t="str">
        <x:v>Pred pilotom</x:v>
      </x:c>
      <x:c r="E9" s="85" t="str">
        <x:v>IT/partner</x:v>
      </x:c>
      <x:c r="F9" s="86" t="str">
        <x:v>izpad prodaje ali nezdružljiva oprema</x:v>
      </x:c>
    </x:row>
    <x:row r="10" ht="24" customHeight="1">
      <x:c r="A10" s="84" t="str">
        <x:v>PR06</x:v>
      </x:c>
      <x:c r="B10" s="85" t="str">
        <x:v>Integracijski sistem resnice</x:v>
      </x:c>
      <x:c r="C10" s="85" t="str">
        <x:v>artikel, zaloga, cena, naročilo, vračilo</x:v>
      </x:c>
      <x:c r="D10" s="85" t="str">
        <x:v>Pred povezavo s spletom</x:v>
      </x:c>
      <x:c r="E10" s="85" t="str">
        <x:v>IT + procesni lastnik</x:v>
      </x:c>
      <x:c r="F10" s="86" t="str">
        <x:v>podvojena naročila in oversell</x:v>
      </x:c>
    </x:row>
    <x:row r="11" ht="24" customHeight="1">
      <x:c r="A11" s="84" t="str">
        <x:v>PR07</x:v>
      </x:c>
      <x:c r="B11" s="85" t="str">
        <x:v>FURS/offline scenarij</x:v>
      </x:c>
      <x:c r="C11" s="85" t="str">
        <x:v>poslovni prostor, naprava, recovery</x:v>
      </x:c>
      <x:c r="D11" s="85" t="str">
        <x:v>Pred zagonem POS</x:v>
      </x:c>
      <x:c r="E11" s="85" t="str">
        <x:v>IT/finance</x:v>
      </x:c>
      <x:c r="F11" s="86" t="str">
        <x:v>nepotrjeno delovanje ob izpadu</x:v>
      </x:c>
    </x:row>
    <x:row r="12" ht="24" customHeight="1">
      <x:c r="A12" s="84" t="str">
        <x:v>PR08</x:v>
      </x:c>
      <x:c r="B12" s="85" t="str">
        <x:v>Testni katalog izjem</x:v>
      </x:c>
      <x:c r="C12" s="85" t="str">
        <x:v>odpoved, delna dobava, vračilo, akcija, izpad</x:v>
      </x:c>
      <x:c r="D12" s="85" t="str">
        <x:v>Pred rolloutom</x:v>
      </x:c>
      <x:c r="E12" s="85" t="str">
        <x:v>super-userji</x:v>
      </x:c>
      <x:c r="F12" s="86" t="str">
        <x:v>normalen tok deluje, izjeme ne</x:v>
      </x:c>
    </x:row>
    <x:row r="13" ht="24" customHeight="1">
      <x:c r="A13" s="84" t="str">
        <x:v>PR09</x:v>
      </x:c>
      <x:c r="B13" s="85" t="str">
        <x:v>Vloge in pravice</x:v>
      </x:c>
      <x:c r="C13" s="85" t="str">
        <x:v>popust, stornacija, cenik, odpis, prenos</x:v>
      </x:c>
      <x:c r="D13" s="85" t="str">
        <x:v>Pred pilotom</x:v>
      </x:c>
      <x:c r="E13" s="85" t="str">
        <x:v>vodja operacij</x:v>
      </x:c>
      <x:c r="F13" s="86" t="str">
        <x:v>nenadzorovane spremembe</x:v>
      </x:c>
    </x:row>
    <x:row r="14" ht="24" customHeight="1">
      <x:c r="A14" s="84" t="str">
        <x:v>PR10</x:v>
      </x:c>
      <x:c r="B14" s="85" t="str">
        <x:v>Baseline KPI</x:v>
      </x:c>
      <x:c r="C14" s="85" t="str">
        <x:v>manko, stockout, ure, vračila, marža</x:v>
      </x:c>
      <x:c r="D14" s="85" t="str">
        <x:v>Pred uvedbo</x:v>
      </x:c>
      <x:c r="E14" s="85" t="str">
        <x:v>finance + procesni lastnik</x:v>
      </x:c>
      <x:c r="F14" s="86" t="str">
        <x:v>ne more se dokazati učinka</x:v>
      </x:c>
    </x:row>
    <x:row r="15" ht="24" customHeight="1">
      <x:c r="A15" s="84" t="str">
        <x:v>PR11</x:v>
      </x:c>
      <x:c r="B15" s="85" t="str">
        <x:v>Usposabljanje in podpora</x:v>
      </x:c>
      <x:c r="C15" s="85" t="str">
        <x:v>super-userji, navodila, prvih 7 dni</x:v>
      </x:c>
      <x:c r="D15" s="85" t="str">
        <x:v>Pred cutoverjem</x:v>
      </x:c>
      <x:c r="E15" s="85" t="str">
        <x:v>partner + vodja lokacij</x:v>
      </x:c>
      <x:c r="F15" s="86" t="str">
        <x:v>ljudje obidejo postopek</x:v>
      </x:c>
    </x:row>
    <x:row r="16" ht="24" customHeight="1">
      <x:c r="A16" s="87" t="str">
        <x:v>PR12</x:v>
      </x:c>
      <x:c r="B16" s="88" t="str">
        <x:v>Fallback/cutover plan</x:v>
      </x:c>
      <x:c r="C16" s="88" t="str">
        <x:v>čas, lastniki, odločanje, komunikacija</x:v>
      </x:c>
      <x:c r="D16" s="88" t="str">
        <x:v>Pred rolloutom</x:v>
      </x:c>
      <x:c r="E16" s="88" t="str">
        <x:v>programski vodja</x:v>
      </x:c>
      <x:c r="F16" s="89" t="str">
        <x:v>motnja prodaje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b28b65313c44ab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62" hidden="0" customWidth="1"/>
    <x:col min="5" max="5" width="18" hidden="0" customWidth="1"/>
    <x:col min="6" max="6" width="19" hidden="0" customWidth="1"/>
    <x:col min="7" max="7" width="12" hidden="0" customWidth="1"/>
    <x:col min="8" max="8" width="29" hidden="0" customWidth="1"/>
    <x:col min="9" max="9" width="22" hidden="0" customWidth="1"/>
    <x:col min="10" max="10" width="31" hidden="0" customWidth="1"/>
  </x:cols>
  <x:sheetData>
    <x:row r="1" ht="38" customHeight="1">
      <x:c r="A1" s="4" t="str">
        <x:v>Vprašanjski register za ROI-kalkulator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52" t="str">
        <x:v>Ločuje obseg, stopnjo izgube, neposredno izgubo, čas, kapital, vzrok in kontekst. ‘Ne vem’ ni nikoli 0 in ‘ni relevantno’ ni dokaz, da izgube ni.</x:v>
      </x:c>
      <x:c r="B2" s="52"/>
      <x:c r="C2" s="52"/>
      <x:c r="D2" s="52"/>
      <x:c r="E2" s="52"/>
      <x:c r="F2" s="52"/>
      <x:c r="G2" s="52"/>
      <x:c r="H2" s="52"/>
      <x:c r="I2" s="52"/>
      <x:c r="J2" s="52"/>
    </x:row>
    <x:row r="4" ht="28" customHeight="1">
      <x:c r="A4" s="59" t="str">
        <x:v>ID</x:v>
      </x:c>
      <x:c r="B4" s="60" t="str">
        <x:v>Faza</x:v>
      </x:c>
      <x:c r="C4" s="60" t="str">
        <x:v>Modul</x:v>
      </x:c>
      <x:c r="D4" s="60" t="str">
        <x:v>Vprašanje</x:v>
      </x:c>
      <x:c r="E4" s="60" t="str">
        <x:v>Tip odgovora</x:v>
      </x:c>
      <x:c r="F4" s="60" t="str">
        <x:v>Tip podatka</x:v>
      </x:c>
      <x:c r="G4" s="60" t="str">
        <x:v>Obvezno</x:v>
      </x:c>
      <x:c r="H4" s="60" t="str">
        <x:v>Če ne ve</x:v>
      </x:c>
      <x:c r="I4" s="60" t="str">
        <x:v>Tipični vir</x:v>
      </x:c>
      <x:c r="J4" s="61" t="str">
        <x:v>Dvojno štetje</x:v>
      </x:c>
    </x:row>
    <x:row r="5" ht="45" customHeight="1">
      <x:c r="A5" s="81" t="str">
        <x:v>Q01</x:v>
      </x:c>
      <x:c r="B5" s="82" t="str">
        <x:v>Kontekst</x:v>
      </x:c>
      <x:c r="C5" s="82" t="str">
        <x:v>Podtip</x:v>
      </x:c>
      <x:c r="D5" s="82" t="str">
        <x:v>Katera vrsta blaga predstavlja največji delež prodaje?</x:v>
      </x:c>
      <x:c r="E5" s="82" t="str">
        <x:v>izbira</x:v>
      </x:c>
      <x:c r="F5" s="82" t="str">
        <x:v>CONTEXT</x:v>
      </x:c>
      <x:c r="G5" s="82" t="str">
        <x:v>Da</x:v>
      </x:c>
      <x:c r="H5" s="82" t="str">
        <x:v>ne generaliziraj benchmarkov</x:v>
      </x:c>
      <x:c r="I5" s="82" t="str">
        <x:v>interni podatek</x:v>
      </x:c>
      <x:c r="J5" s="83" t="str">
        <x:v>—</x:v>
      </x:c>
    </x:row>
    <x:row r="6" ht="45" customHeight="1">
      <x:c r="A6" s="84" t="str">
        <x:v>Q02</x:v>
      </x:c>
      <x:c r="B6" s="85" t="str">
        <x:v>Kontekst</x:v>
      </x:c>
      <x:c r="C6" s="85" t="str">
        <x:v>Lastnosti blaga</x:v>
      </x:c>
      <x:c r="D6" s="85" t="str">
        <x:v>Ali je blago pokvarljivo, sezonsko, vodeno po lotih/serijah, visoke vrednosti ali brez posebne sledljivosti?</x:v>
      </x:c>
      <x:c r="E6" s="85" t="str">
        <x:v>večizbira</x:v>
      </x:c>
      <x:c r="F6" s="85" t="str">
        <x:v>CONTEXT</x:v>
      </x:c>
      <x:c r="G6" s="85" t="str">
        <x:v>Da</x:v>
      </x:c>
      <x:c r="H6" s="85" t="str">
        <x:v>ne prikaži nerelevantnih modulov</x:v>
      </x:c>
      <x:c r="I6" s="85" t="str">
        <x:v>interni podatek</x:v>
      </x:c>
      <x:c r="J6" s="86" t="str">
        <x:v>—</x:v>
      </x:c>
    </x:row>
    <x:row r="7" ht="45" customHeight="1">
      <x:c r="A7" s="84" t="str">
        <x:v>Q03</x:v>
      </x:c>
      <x:c r="B7" s="85" t="str">
        <x:v>Kontekst</x:v>
      </x:c>
      <x:c r="C7" s="85" t="str">
        <x:v>Poslovni model</x:v>
      </x:c>
      <x:c r="D7" s="85" t="str">
        <x:v>Ali poslujete kot samostojni trgovec, mreža, franšiza, komisija, e-trgovec ali B2B/B2C hibrid?</x:v>
      </x:c>
      <x:c r="E7" s="85" t="str">
        <x:v>izbira</x:v>
      </x:c>
      <x:c r="F7" s="85" t="str">
        <x:v>CONTEXT</x:v>
      </x:c>
      <x:c r="G7" s="85" t="str">
        <x:v>Da</x:v>
      </x:c>
      <x:c r="H7" s="85" t="str">
        <x:v>pokaži ustrezne veje</x:v>
      </x:c>
      <x:c r="I7" s="85" t="str">
        <x:v>interni podatek</x:v>
      </x:c>
      <x:c r="J7" s="86" t="str">
        <x:v>—</x:v>
      </x:c>
    </x:row>
    <x:row r="8" ht="45" customHeight="1">
      <x:c r="A8" s="84" t="str">
        <x:v>Q04</x:v>
      </x:c>
      <x:c r="B8" s="85" t="str">
        <x:v>Obseg</x:v>
      </x:c>
      <x:c r="C8" s="85" t="str">
        <x:v>Lokacije</x:v>
      </x:c>
      <x:c r="D8" s="85" t="str">
        <x:v>Koliko poslovalnic, POS-terminalov in skladišč imate?</x:v>
      </x:c>
      <x:c r="E8" s="85" t="str">
        <x:v>število</x:v>
      </x:c>
      <x:c r="F8" s="85" t="str">
        <x:v>SCALE_BASE</x:v>
      </x:c>
      <x:c r="G8" s="85" t="str">
        <x:v>Da</x:v>
      </x:c>
      <x:c r="H8" s="85" t="str">
        <x:v>ne vpisuj 0</x:v>
      </x:c>
      <x:c r="I8" s="85" t="str">
        <x:v>sistem</x:v>
      </x:c>
      <x:c r="J8" s="86" t="str">
        <x:v>—</x:v>
      </x:c>
    </x:row>
    <x:row r="9" ht="45" customHeight="1">
      <x:c r="A9" s="84" t="str">
        <x:v>Q05</x:v>
      </x:c>
      <x:c r="B9" s="85" t="str">
        <x:v>Obseg</x:v>
      </x:c>
      <x:c r="C9" s="85" t="str">
        <x:v>Asortiment</x:v>
      </x:c>
      <x:c r="D9" s="85" t="str">
        <x:v>Koliko aktivnih SKU imate?</x:v>
      </x:c>
      <x:c r="E9" s="85" t="str">
        <x:v>število</x:v>
      </x:c>
      <x:c r="F9" s="85" t="str">
        <x:v>SCALE_BASE</x:v>
      </x:c>
      <x:c r="G9" s="85" t="str">
        <x:v>Da</x:v>
      </x:c>
      <x:c r="H9" s="85" t="str">
        <x:v>izberi razpon</x:v>
      </x:c>
      <x:c r="I9" s="85" t="str">
        <x:v>ERP</x:v>
      </x:c>
      <x:c r="J9" s="86" t="str">
        <x:v>—</x:v>
      </x:c>
    </x:row>
    <x:row r="10" ht="45" customHeight="1">
      <x:c r="A10" s="84" t="str">
        <x:v>Q06</x:v>
      </x:c>
      <x:c r="B10" s="85" t="str">
        <x:v>Obseg</x:v>
      </x:c>
      <x:c r="C10" s="85" t="str">
        <x:v>Transakcije</x:v>
      </x:c>
      <x:c r="D10" s="85" t="str">
        <x:v>Koliko transakcij in spletnih naročil imate mesečno?</x:v>
      </x:c>
      <x:c r="E10" s="85" t="str">
        <x:v>število</x:v>
      </x:c>
      <x:c r="F10" s="85" t="str">
        <x:v>SCALE_BASE</x:v>
      </x:c>
      <x:c r="G10" s="85" t="str">
        <x:v>Da</x:v>
      </x:c>
      <x:c r="H10" s="85" t="str">
        <x:v>izberi razpon</x:v>
      </x:c>
      <x:c r="I10" s="85" t="str">
        <x:v>POS/OMS</x:v>
      </x:c>
      <x:c r="J10" s="86" t="str">
        <x:v>—</x:v>
      </x:c>
    </x:row>
    <x:row r="11" ht="45" customHeight="1">
      <x:c r="A11" s="84" t="str">
        <x:v>Q07</x:v>
      </x:c>
      <x:c r="B11" s="85" t="str">
        <x:v>Obseg</x:v>
      </x:c>
      <x:c r="C11" s="85" t="str">
        <x:v>Finančna osnova</x:v>
      </x:c>
      <x:c r="D11" s="85" t="str">
        <x:v>Kolikšni so letni neto prihodki, COGS in prispevna marža?</x:v>
      </x:c>
      <x:c r="E11" s="85" t="str">
        <x:v>EUR/%</x:v>
      </x:c>
      <x:c r="F11" s="85" t="str">
        <x:v>SCALE_BASE</x:v>
      </x:c>
      <x:c r="G11" s="85" t="str">
        <x:v>Da</x:v>
      </x:c>
      <x:c r="H11" s="85" t="str">
        <x:v>zberi v dokaznem sprintu</x:v>
      </x:c>
      <x:c r="I11" s="85" t="str">
        <x:v>finance</x:v>
      </x:c>
      <x:c r="J11" s="86" t="str">
        <x:v>ne seštevaj prihodka kot izgubo</x:v>
      </x:c>
    </x:row>
    <x:row r="12" ht="45" customHeight="1">
      <x:c r="A12" s="84" t="str">
        <x:v>Q08</x:v>
      </x:c>
      <x:c r="B12" s="85" t="str">
        <x:v>Obseg</x:v>
      </x:c>
      <x:c r="C12" s="85" t="str">
        <x:v>Kanali</x:v>
      </x:c>
      <x:c r="D12" s="85" t="str">
        <x:v>Kolikšen delež prihodka nastane na spletu in prek B2B?</x:v>
      </x:c>
      <x:c r="E12" s="85" t="str">
        <x:v>%</x:v>
      </x:c>
      <x:c r="F12" s="85" t="str">
        <x:v>SCALE_BASE</x:v>
      </x:c>
      <x:c r="G12" s="85" t="str">
        <x:v>Da</x:v>
      </x:c>
      <x:c r="H12" s="85" t="str">
        <x:v>izberi razpon</x:v>
      </x:c>
      <x:c r="I12" s="85" t="str">
        <x:v>ERP/OMS</x:v>
      </x:c>
      <x:c r="J12" s="86" t="str">
        <x:v>—</x:v>
      </x:c>
    </x:row>
    <x:row r="13" ht="45" customHeight="1">
      <x:c r="A13" s="84" t="str">
        <x:v>Q09</x:v>
      </x:c>
      <x:c r="B13" s="85" t="str">
        <x:v>Sistemi</x:v>
      </x:c>
      <x:c r="C13" s="85" t="str">
        <x:v>POS–zaloga</x:v>
      </x:c>
      <x:c r="D13" s="85" t="str">
        <x:v>Ali blagajna samodejno zmanjšuje zalogo?</x:v>
      </x:c>
      <x:c r="E13" s="85" t="str">
        <x:v>izbira</x:v>
      </x:c>
      <x:c r="F13" s="85" t="str">
        <x:v>CONTEXT</x:v>
      </x:c>
      <x:c r="G13" s="85" t="str">
        <x:v>Da</x:v>
      </x:c>
      <x:c r="H13" s="85" t="str">
        <x:v>neznano ≠ nepovezano</x:v>
      </x:c>
      <x:c r="I13" s="85" t="str">
        <x:v>IT/POS</x:v>
      </x:c>
      <x:c r="J13" s="86" t="str">
        <x:v>—</x:v>
      </x:c>
    </x:row>
    <x:row r="14" ht="45" customHeight="1">
      <x:c r="A14" s="84" t="str">
        <x:v>Q10</x:v>
      </x:c>
      <x:c r="B14" s="85" t="str">
        <x:v>Sistemi</x:v>
      </x:c>
      <x:c r="C14" s="85" t="str">
        <x:v>Poslovalnice</x:v>
      </x:c>
      <x:c r="D14" s="85" t="str">
        <x:v>Ali vse poslovalnice delajo v skupni bazi ali se podatki sinhronizirajo z zamikom?</x:v>
      </x:c>
      <x:c r="E14" s="85" t="str">
        <x:v>izbira</x:v>
      </x:c>
      <x:c r="F14" s="85" t="str">
        <x:v>CONTEXT</x:v>
      </x:c>
      <x:c r="G14" s="85" t="str">
        <x:v>Da</x:v>
      </x:c>
      <x:c r="H14" s="85" t="str">
        <x:v>preveri z vzorcem</x:v>
      </x:c>
      <x:c r="I14" s="85" t="str">
        <x:v>IT</x:v>
      </x:c>
      <x:c r="J14" s="86" t="str">
        <x:v>—</x:v>
      </x:c>
    </x:row>
    <x:row r="15" ht="45" customHeight="1">
      <x:c r="A15" s="84" t="str">
        <x:v>Q11</x:v>
      </x:c>
      <x:c r="B15" s="85" t="str">
        <x:v>Sistemi</x:v>
      </x:c>
      <x:c r="C15" s="85" t="str">
        <x:v>Splet</x:v>
      </x:c>
      <x:c r="D15" s="85" t="str">
        <x:v>Ali so naročila, artikli, cene in zaloge spletne trgovine povezani?</x:v>
      </x:c>
      <x:c r="E15" s="85" t="str">
        <x:v>izbira</x:v>
      </x:c>
      <x:c r="F15" s="85" t="str">
        <x:v>CONTEXT</x:v>
      </x:c>
      <x:c r="G15" s="85" t="str">
        <x:v>Pogojno</x:v>
      </x:c>
      <x:c r="H15" s="85" t="str">
        <x:v>ne predpostavi integracije</x:v>
      </x:c>
      <x:c r="I15" s="85" t="str">
        <x:v>IT/OMS</x:v>
      </x:c>
      <x:c r="J15" s="86" t="str">
        <x:v>—</x:v>
      </x:c>
    </x:row>
    <x:row r="16" ht="45" customHeight="1">
      <x:c r="A16" s="84" t="str">
        <x:v>Q12</x:v>
      </x:c>
      <x:c r="B16" s="85" t="str">
        <x:v>Triaža</x:v>
      </x:c>
      <x:c r="C16" s="85" t="str">
        <x:v>Razpoložljivost</x:v>
      </x:c>
      <x:c r="D16" s="85" t="str">
        <x:v>Kako pogosto prodajno zanimivega artikla ni na polici oziroma ni dobavljiv?</x:v>
      </x:c>
      <x:c r="E16" s="85" t="str">
        <x:v>lestvica</x:v>
      </x:c>
      <x:c r="F16" s="85" t="str">
        <x:v>LOSS_RATE</x:v>
      </x:c>
      <x:c r="G16" s="85" t="str">
        <x:v>Da</x:v>
      </x:c>
      <x:c r="H16" s="85" t="str">
        <x:v>izberi razpon</x:v>
      </x:c>
      <x:c r="I16" s="85" t="str">
        <x:v>POS/store audit</x:v>
      </x:c>
      <x:c r="J16" s="86" t="str">
        <x:v>spletne odpovedi so ločene</x:v>
      </x:c>
    </x:row>
    <x:row r="17" ht="45" customHeight="1">
      <x:c r="A17" s="84" t="str">
        <x:v>Q13</x:v>
      </x:c>
      <x:c r="B17" s="85" t="str">
        <x:v>Triaža</x:v>
      </x:c>
      <x:c r="C17" s="85" t="str">
        <x:v>Presežna zaloga</x:v>
      </x:c>
      <x:c r="D17" s="85" t="str">
        <x:v>Kako pogosto nastanejo odpisi, potekli roki ali prisilna znižanja?</x:v>
      </x:c>
      <x:c r="E17" s="85" t="str">
        <x:v>lestvica</x:v>
      </x:c>
      <x:c r="F17" s="85" t="str">
        <x:v>DIRECT_LOSS</x:v>
      </x:c>
      <x:c r="G17" s="85" t="str">
        <x:v>Da</x:v>
      </x:c>
      <x:c r="H17" s="85" t="str">
        <x:v>izberi razpon</x:v>
      </x:c>
      <x:c r="I17" s="85" t="str">
        <x:v>ERP/finance</x:v>
      </x:c>
      <x:c r="J17" s="86" t="str">
        <x:v>manko je ločen</x:v>
      </x:c>
    </x:row>
    <x:row r="18" ht="45" customHeight="1">
      <x:c r="A18" s="84" t="str">
        <x:v>Q14</x:v>
      </x:c>
      <x:c r="B18" s="85" t="str">
        <x:v>Triaža</x:v>
      </x:c>
      <x:c r="C18" s="85" t="str">
        <x:v>Nabava</x:v>
      </x:c>
      <x:c r="D18" s="85" t="str">
        <x:v>Kako pogosto naročanje, rabati ali dobave povzročajo dodatne stroške?</x:v>
      </x:c>
      <x:c r="E18" s="85" t="str">
        <x:v>lestvica</x:v>
      </x:c>
      <x:c r="F18" s="85" t="str">
        <x:v>DIRECT_LOSS</x:v>
      </x:c>
      <x:c r="G18" s="85" t="str">
        <x:v>Da</x:v>
      </x:c>
      <x:c r="H18" s="85" t="str">
        <x:v>izberi razpon</x:v>
      </x:c>
      <x:c r="I18" s="85" t="str">
        <x:v>nabava</x:v>
      </x:c>
      <x:c r="J18" s="86" t="str">
        <x:v>stockout ostane v razpoložljivosti</x:v>
      </x:c>
    </x:row>
    <x:row r="19" ht="45" customHeight="1">
      <x:c r="A19" s="84" t="str">
        <x:v>Q15</x:v>
      </x:c>
      <x:c r="B19" s="85" t="str">
        <x:v>Triaža</x:v>
      </x:c>
      <x:c r="C19" s="85" t="str">
        <x:v>Cene</x:v>
      </x:c>
      <x:c r="D19" s="85" t="str">
        <x:v>Kako pogosto pride do napačne cene, akcije ali marže?</x:v>
      </x:c>
      <x:c r="E19" s="85" t="str">
        <x:v>lestvica</x:v>
      </x:c>
      <x:c r="F19" s="85" t="str">
        <x:v>LOSS_RATE</x:v>
      </x:c>
      <x:c r="G19" s="85" t="str">
        <x:v>Da</x:v>
      </x:c>
      <x:c r="H19" s="85" t="str">
        <x:v>izberi razpon</x:v>
      </x:c>
      <x:c r="I19" s="85" t="str">
        <x:v>POS/cenik</x:v>
      </x:c>
      <x:c r="J19" s="86" t="str">
        <x:v>—</x:v>
      </x:c>
    </x:row>
    <x:row r="20" ht="45" customHeight="1">
      <x:c r="A20" s="84" t="str">
        <x:v>Q16</x:v>
      </x:c>
      <x:c r="B20" s="85" t="str">
        <x:v>Triaža</x:v>
      </x:c>
      <x:c r="C20" s="85" t="str">
        <x:v>Prevzem/prenosi</x:v>
      </x:c>
      <x:c r="D20" s="85" t="str">
        <x:v>Kako pogosto ročno usklajujete prevzem, prenos ali sledljivost?</x:v>
      </x:c>
      <x:c r="E20" s="85" t="str">
        <x:v>lestvica</x:v>
      </x:c>
      <x:c r="F20" s="85" t="str">
        <x:v>TIME_VOLUME</x:v>
      </x:c>
      <x:c r="G20" s="85" t="str">
        <x:v>Da</x:v>
      </x:c>
      <x:c r="H20" s="85" t="str">
        <x:v>izberi razpon</x:v>
      </x:c>
      <x:c r="I20" s="85" t="str">
        <x:v>skladišče</x:v>
      </x:c>
      <x:c r="J20" s="86" t="str">
        <x:v>ne vključuj računovodskega knjiženja</x:v>
      </x:c>
    </x:row>
    <x:row r="21" ht="45" customHeight="1">
      <x:c r="A21" s="84" t="str">
        <x:v>Q17</x:v>
      </x:c>
      <x:c r="B21" s="85" t="str">
        <x:v>Triaža</x:v>
      </x:c>
      <x:c r="C21" s="85" t="str">
        <x:v>Blagajna</x:v>
      </x:c>
      <x:c r="D21" s="85" t="str">
        <x:v>Kako pogosto vam zaključki, plačila ali blagajniške razlike vzamejo preveč časa?</x:v>
      </x:c>
      <x:c r="E21" s="85" t="str">
        <x:v>lestvica</x:v>
      </x:c>
      <x:c r="F21" s="85" t="str">
        <x:v>TIME_VOLUME</x:v>
      </x:c>
      <x:c r="G21" s="85" t="str">
        <x:v>Da</x:v>
      </x:c>
      <x:c r="H21" s="85" t="str">
        <x:v>izberi razpon</x:v>
      </x:c>
      <x:c r="I21" s="85" t="str">
        <x:v>POS</x:v>
      </x:c>
      <x:c r="J21" s="86" t="str">
        <x:v>—</x:v>
      </x:c>
    </x:row>
    <x:row r="22" ht="45" customHeight="1">
      <x:c r="A22" s="84" t="str">
        <x:v>Q18</x:v>
      </x:c>
      <x:c r="B22" s="85" t="str">
        <x:v>Triaža</x:v>
      </x:c>
      <x:c r="C22" s="85" t="str">
        <x:v>Inventura</x:v>
      </x:c>
      <x:c r="D22" s="85" t="str">
        <x:v>Kako velik problem so inventurni manki in netočne zaloge?</x:v>
      </x:c>
      <x:c r="E22" s="85" t="str">
        <x:v>lestvica</x:v>
      </x:c>
      <x:c r="F22" s="85" t="str">
        <x:v>DIRECT_LOSS</x:v>
      </x:c>
      <x:c r="G22" s="85" t="str">
        <x:v>Da</x:v>
      </x:c>
      <x:c r="H22" s="85" t="str">
        <x:v>izberi razpon</x:v>
      </x:c>
      <x:c r="I22" s="85" t="str">
        <x:v>inventura</x:v>
      </x:c>
      <x:c r="J22" s="86" t="str">
        <x:v>vračila in odpisi so ločeni</x:v>
      </x:c>
    </x:row>
    <x:row r="23" ht="45" customHeight="1">
      <x:c r="A23" s="84" t="str">
        <x:v>Q19</x:v>
      </x:c>
      <x:c r="B23" s="85" t="str">
        <x:v>Triaža</x:v>
      </x:c>
      <x:c r="C23" s="85" t="str">
        <x:v>Splet/vračila</x:v>
      </x:c>
      <x:c r="D23" s="85" t="str">
        <x:v>Kako pogosto spletna naročila, fulfilment ali vračila ustvarijo strošek?</x:v>
      </x:c>
      <x:c r="E23" s="85" t="str">
        <x:v>lestvica</x:v>
      </x:c>
      <x:c r="F23" s="85" t="str">
        <x:v>DIRECT_LOSS</x:v>
      </x:c>
      <x:c r="G23" s="85" t="str">
        <x:v>Pogojno</x:v>
      </x:c>
      <x:c r="H23" s="85" t="str">
        <x:v>ni relevantno</x:v>
      </x:c>
      <x:c r="I23" s="85" t="str">
        <x:v>OMS/e-commerce</x:v>
      </x:c>
      <x:c r="J23" s="86" t="str">
        <x:v>stockout v poslovalnici je ločen</x:v>
      </x:c>
    </x:row>
    <x:row r="24" ht="45" customHeight="1">
      <x:c r="A24" s="84" t="str">
        <x:v>Q20</x:v>
      </x:c>
      <x:c r="B24" s="85" t="str">
        <x:v>Triaža</x:v>
      </x:c>
      <x:c r="C24" s="85" t="str">
        <x:v>Kadri</x:v>
      </x:c>
      <x:c r="D24" s="85" t="str">
        <x:v>Kako pogosto razporedi in evidence povzročijo nadure ali ročno delo?</x:v>
      </x:c>
      <x:c r="E24" s="85" t="str">
        <x:v>lestvica</x:v>
      </x:c>
      <x:c r="F24" s="85" t="str">
        <x:v>TIME_VOLUME</x:v>
      </x:c>
      <x:c r="G24" s="85" t="str">
        <x:v>Da</x:v>
      </x:c>
      <x:c r="H24" s="85" t="str">
        <x:v>izberi razpon</x:v>
      </x:c>
      <x:c r="I24" s="85" t="str">
        <x:v>HR</x:v>
      </x:c>
      <x:c r="J24" s="86" t="str">
        <x:v>—</x:v>
      </x:c>
    </x:row>
    <x:row r="25" ht="45" customHeight="1">
      <x:c r="A25" s="84" t="str">
        <x:v>Q21</x:v>
      </x:c>
      <x:c r="B25" s="85" t="str">
        <x:v>Triaža</x:v>
      </x:c>
      <x:c r="C25" s="85" t="str">
        <x:v>Analitika</x:v>
      </x:c>
      <x:c r="D25" s="85" t="str">
        <x:v>Kako pogosto poročanje temelji na ročnem usklajevanju preglednic?</x:v>
      </x:c>
      <x:c r="E25" s="85" t="str">
        <x:v>lestvica</x:v>
      </x:c>
      <x:c r="F25" s="85" t="str">
        <x:v>TIME_VOLUME</x:v>
      </x:c>
      <x:c r="G25" s="85" t="str">
        <x:v>Da</x:v>
      </x:c>
      <x:c r="H25" s="85" t="str">
        <x:v>izberi razpon</x:v>
      </x:c>
      <x:c r="I25" s="85" t="str">
        <x:v>BI/finance</x:v>
      </x:c>
      <x:c r="J25" s="86" t="str">
        <x:v>ne podvoji ur drugega modula</x:v>
      </x:c>
    </x:row>
    <x:row r="26" ht="45" customHeight="1">
      <x:c r="A26" s="84" t="str">
        <x:v>Q22</x:v>
      </x:c>
      <x:c r="B26" s="85" t="str">
        <x:v>Triaža</x:v>
      </x:c>
      <x:c r="C26" s="85" t="str">
        <x:v>Dokumenti</x:v>
      </x:c>
      <x:c r="D26" s="85" t="str">
        <x:v>Kako pogosto se dokumenti prepisujejo, iščejo ali napačno knjižijo?</x:v>
      </x:c>
      <x:c r="E26" s="85" t="str">
        <x:v>lestvica</x:v>
      </x:c>
      <x:c r="F26" s="85" t="str">
        <x:v>TIME_VOLUME</x:v>
      </x:c>
      <x:c r="G26" s="85" t="str">
        <x:v>Da</x:v>
      </x:c>
      <x:c r="H26" s="85" t="str">
        <x:v>izberi razpon</x:v>
      </x:c>
      <x:c r="I26" s="85" t="str">
        <x:v>DMS/finance</x:v>
      </x:c>
      <x:c r="J26" s="86" t="str">
        <x:v>prevzem dobavnice je ločen</x:v>
      </x:c>
    </x:row>
    <x:row r="27" ht="45" customHeight="1">
      <x:c r="A27" s="84" t="str">
        <x:v>Q23</x:v>
      </x:c>
      <x:c r="B27" s="85" t="str">
        <x:v>Triaža</x:v>
      </x:c>
      <x:c r="C27" s="85" t="str">
        <x:v>Garancije</x:v>
      </x:c>
      <x:c r="D27" s="85" t="str">
        <x:v>Kako pogosto reklamacije/garancije zahtevajo ročno iskanje računa ali serije?</x:v>
      </x:c>
      <x:c r="E27" s="85" t="str">
        <x:v>lestvica</x:v>
      </x:c>
      <x:c r="F27" s="85" t="str">
        <x:v>TIME_VOLUME</x:v>
      </x:c>
      <x:c r="G27" s="85" t="str">
        <x:v>Pogojno</x:v>
      </x:c>
      <x:c r="H27" s="85" t="str">
        <x:v>ni relevantno</x:v>
      </x:c>
      <x:c r="I27" s="85" t="str">
        <x:v>servis</x:v>
      </x:c>
      <x:c r="J27" s="86" t="str">
        <x:v>običajno spletno vračilo je ločeno</x:v>
      </x:c>
    </x:row>
    <x:row r="28" ht="45" customHeight="1">
      <x:c r="A28" s="84" t="str">
        <x:v>Q24</x:v>
      </x:c>
      <x:c r="B28" s="85" t="str">
        <x:v>Modul</x:v>
      </x:c>
      <x:c r="C28" s="85" t="str">
        <x:v>Stockout</x:v>
      </x:c>
      <x:c r="D28" s="85" t="str">
        <x:v>Kolikšen delež izgubljenih nakupov nadomesti drug artikel oziroma se zgodi pozneje?</x:v>
      </x:c>
      <x:c r="E28" s="85" t="str">
        <x:v>%</x:v>
      </x:c>
      <x:c r="F28" s="85" t="str">
        <x:v>LOSS_RATE</x:v>
      </x:c>
      <x:c r="G28" s="85" t="str">
        <x:v>Pogojno</x:v>
      </x:c>
      <x:c r="H28" s="85" t="str">
        <x:v>izberi razpon</x:v>
      </x:c>
      <x:c r="I28" s="85" t="str">
        <x:v>ocena/vzorec</x:v>
      </x:c>
      <x:c r="J28" s="86" t="str">
        <x:v>—</x:v>
      </x:c>
    </x:row>
    <x:row r="29" ht="45" customHeight="1">
      <x:c r="A29" s="84" t="str">
        <x:v>Q25</x:v>
      </x:c>
      <x:c r="B29" s="85" t="str">
        <x:v>Modul</x:v>
      </x:c>
      <x:c r="C29" s="85" t="str">
        <x:v>Stockout</x:v>
      </x:c>
      <x:c r="D29" s="85" t="str">
        <x:v>Kolikšna je ocenjena izgubljena prodaja ali marža zaradi nedobavljivosti?</x:v>
      </x:c>
      <x:c r="E29" s="85" t="str">
        <x:v>EUR/%</x:v>
      </x:c>
      <x:c r="F29" s="85" t="str">
        <x:v>LOSS_RATE</x:v>
      </x:c>
      <x:c r="G29" s="85" t="str">
        <x:v>Pogojno</x:v>
      </x:c>
      <x:c r="H29" s="85" t="str">
        <x:v>dokazni sprint</x:v>
      </x:c>
      <x:c r="I29" s="85" t="str">
        <x:v>POS/splet</x:v>
      </x:c>
      <x:c r="J29" s="86" t="str">
        <x:v>kanal je obvezen</x:v>
      </x:c>
    </x:row>
    <x:row r="30" ht="45" customHeight="1">
      <x:c r="A30" s="84" t="str">
        <x:v>Q26</x:v>
      </x:c>
      <x:c r="B30" s="85" t="str">
        <x:v>Modul</x:v>
      </x:c>
      <x:c r="C30" s="85" t="str">
        <x:v>Staranje zaloge</x:v>
      </x:c>
      <x:c r="D30" s="85" t="str">
        <x:v>Kolikšna je vrednost zaloge brez prodaje 90/180/365 dni?</x:v>
      </x:c>
      <x:c r="E30" s="85" t="str">
        <x:v>EUR</x:v>
      </x:c>
      <x:c r="F30" s="85" t="str">
        <x:v>CAPITAL_BASE</x:v>
      </x:c>
      <x:c r="G30" s="85" t="str">
        <x:v>Pogojno</x:v>
      </x:c>
      <x:c r="H30" s="85" t="str">
        <x:v>izvoz zaloge</x:v>
      </x:c>
      <x:c r="I30" s="85" t="str">
        <x:v>ERP</x:v>
      </x:c>
      <x:c r="J30" s="86" t="str">
        <x:v>ne šteje se kot celotni strošek</x:v>
      </x:c>
    </x:row>
    <x:row r="31" ht="45" customHeight="1">
      <x:c r="A31" s="84" t="str">
        <x:v>Q27</x:v>
      </x:c>
      <x:c r="B31" s="85" t="str">
        <x:v>Modul</x:v>
      </x:c>
      <x:c r="C31" s="85" t="str">
        <x:v>Nabava</x:v>
      </x:c>
      <x:c r="D31" s="85" t="str">
        <x:v>Koliko nabavnih naročil je ročnih in koliko časa porabi eno?</x:v>
      </x:c>
      <x:c r="E31" s="85" t="str">
        <x:v># / min</x:v>
      </x:c>
      <x:c r="F31" s="85" t="str">
        <x:v>TIME_VOLUME</x:v>
      </x:c>
      <x:c r="G31" s="85" t="str">
        <x:v>Pogojno</x:v>
      </x:c>
      <x:c r="H31" s="85" t="str">
        <x:v>vzorčni teden</x:v>
      </x:c>
      <x:c r="I31" s="85" t="str">
        <x:v>nabava</x:v>
      </x:c>
      <x:c r="J31" s="86" t="str">
        <x:v>—</x:v>
      </x:c>
    </x:row>
    <x:row r="32" ht="45" customHeight="1">
      <x:c r="A32" s="84" t="str">
        <x:v>Q28</x:v>
      </x:c>
      <x:c r="B32" s="85" t="str">
        <x:v>Modul</x:v>
      </x:c>
      <x:c r="C32" s="85" t="str">
        <x:v>Cene</x:v>
      </x:c>
      <x:c r="D32" s="85" t="str">
        <x:v>Ali lahko za artikel, lokacijo in kanal dokažete najnižjo ceno zadnjih 30 dni?</x:v>
      </x:c>
      <x:c r="E32" s="85" t="str">
        <x:v>da/ne</x:v>
      </x:c>
      <x:c r="F32" s="85" t="str">
        <x:v>CONTEXT</x:v>
      </x:c>
      <x:c r="G32" s="85" t="str">
        <x:v>Pogojno</x:v>
      </x:c>
      <x:c r="H32" s="85" t="str">
        <x:v>preveri vzorec</x:v>
      </x:c>
      <x:c r="I32" s="85" t="str">
        <x:v>cenik/POS</x:v>
      </x:c>
      <x:c r="J32" s="86" t="str">
        <x:v>—</x:v>
      </x:c>
    </x:row>
    <x:row r="33" ht="45" customHeight="1">
      <x:c r="A33" s="84" t="str">
        <x:v>Q29</x:v>
      </x:c>
      <x:c r="B33" s="85" t="str">
        <x:v>Modul</x:v>
      </x:c>
      <x:c r="C33" s="85" t="str">
        <x:v>Prevzem</x:v>
      </x:c>
      <x:c r="D33" s="85" t="str">
        <x:v>Koliko dobav, postavk in razlik med naročilom, dobavnico in računom imate mesečno?</x:v>
      </x:c>
      <x:c r="E33" s="85" t="str">
        <x:v># / min</x:v>
      </x:c>
      <x:c r="F33" s="85" t="str">
        <x:v>SCALE_BASE</x:v>
      </x:c>
      <x:c r="G33" s="85" t="str">
        <x:v>Pogojno</x:v>
      </x:c>
      <x:c r="H33" s="85" t="str">
        <x:v>izberi razpon</x:v>
      </x:c>
      <x:c r="I33" s="85" t="str">
        <x:v>ERP</x:v>
      </x:c>
      <x:c r="J33" s="86" t="str">
        <x:v>knjiženje je ločeno</x:v>
      </x:c>
    </x:row>
    <x:row r="34" ht="45" customHeight="1">
      <x:c r="A34" s="84" t="str">
        <x:v>Q30</x:v>
      </x:c>
      <x:c r="B34" s="85" t="str">
        <x:v>Modul</x:v>
      </x:c>
      <x:c r="C34" s="85" t="str">
        <x:v>Blagajna</x:v>
      </x:c>
      <x:c r="D34" s="85" t="str">
        <x:v>Koliko minut traja dnevni zaključek po blagajni in koliko je razlik?</x:v>
      </x:c>
      <x:c r="E34" s="85" t="str">
        <x:v>min / EUR</x:v>
      </x:c>
      <x:c r="F34" s="85" t="str">
        <x:v>TIME_VOLUME</x:v>
      </x:c>
      <x:c r="G34" s="85" t="str">
        <x:v>Pogojno</x:v>
      </x:c>
      <x:c r="H34" s="85" t="str">
        <x:v>časovna meritev</x:v>
      </x:c>
      <x:c r="I34" s="85" t="str">
        <x:v>POS</x:v>
      </x:c>
      <x:c r="J34" s="86" t="str">
        <x:v>—</x:v>
      </x:c>
    </x:row>
    <x:row r="35" ht="45" customHeight="1">
      <x:c r="A35" s="84" t="str">
        <x:v>Q31</x:v>
      </x:c>
      <x:c r="B35" s="85" t="str">
        <x:v>Modul</x:v>
      </x:c>
      <x:c r="C35" s="85" t="str">
        <x:v>Inventura</x:v>
      </x:c>
      <x:c r="D35" s="85" t="str">
        <x:v>Kolikšna je bila vrednost manjka po nabavni vrednosti ob zadnji inventuri?</x:v>
      </x:c>
      <x:c r="E35" s="85" t="str">
        <x:v>EUR</x:v>
      </x:c>
      <x:c r="F35" s="85" t="str">
        <x:v>DIRECT_LOSS</x:v>
      </x:c>
      <x:c r="G35" s="85" t="str">
        <x:v>Pogojno</x:v>
      </x:c>
      <x:c r="H35" s="85" t="str">
        <x:v>zadnja inventura</x:v>
      </x:c>
      <x:c r="I35" s="85" t="str">
        <x:v>inventura</x:v>
      </x:c>
      <x:c r="J35" s="86" t="str">
        <x:v>odpisi so ločeni</x:v>
      </x:c>
    </x:row>
    <x:row r="36" ht="45" customHeight="1">
      <x:c r="A36" s="84" t="str">
        <x:v>Q32</x:v>
      </x:c>
      <x:c r="B36" s="85" t="str">
        <x:v>Modul</x:v>
      </x:c>
      <x:c r="C36" s="85" t="str">
        <x:v>Vračila</x:v>
      </x:c>
      <x:c r="D36" s="85" t="str">
        <x:v>Kolikšna sta delež vračil in neposredni strošek enega vračila?</x:v>
      </x:c>
      <x:c r="E36" s="85" t="str">
        <x:v>% / EUR</x:v>
      </x:c>
      <x:c r="F36" s="85" t="str">
        <x:v>DIRECT_LOSS</x:v>
      </x:c>
      <x:c r="G36" s="85" t="str">
        <x:v>Pogojno</x:v>
      </x:c>
      <x:c r="H36" s="85" t="str">
        <x:v>izvoz vračil</x:v>
      </x:c>
      <x:c r="I36" s="85" t="str">
        <x:v>OMS/finance</x:v>
      </x:c>
      <x:c r="J36" s="86" t="str">
        <x:v>ne šteje celotne kupnine</x:v>
      </x:c>
    </x:row>
    <x:row r="37" ht="45" customHeight="1">
      <x:c r="A37" s="84" t="str">
        <x:v>Q33</x:v>
      </x:c>
      <x:c r="B37" s="85" t="str">
        <x:v>Modul</x:v>
      </x:c>
      <x:c r="C37" s="85" t="str">
        <x:v>Dokumenti</x:v>
      </x:c>
      <x:c r="D37" s="85" t="str">
        <x:v>Kolikšen delež prejetih B2B računov je strukturiranih e-dokumentov?</x:v>
      </x:c>
      <x:c r="E37" s="85" t="str">
        <x:v>%</x:v>
      </x:c>
      <x:c r="F37" s="85" t="str">
        <x:v>SCALE_BASE</x:v>
      </x:c>
      <x:c r="G37" s="85" t="str">
        <x:v>Pogojno</x:v>
      </x:c>
      <x:c r="H37" s="85" t="str">
        <x:v>izberi razpon</x:v>
      </x:c>
      <x:c r="I37" s="85" t="str">
        <x:v>finance</x:v>
      </x:c>
      <x:c r="J37" s="86" t="str">
        <x:v>B2B je ločen od B2C</x:v>
      </x:c>
    </x:row>
    <x:row r="38" ht="45" customHeight="1">
      <x:c r="A38" s="84" t="str">
        <x:v>Q34</x:v>
      </x:c>
      <x:c r="B38" s="85" t="str">
        <x:v>Kakovost</x:v>
      </x:c>
      <x:c r="C38" s="85" t="str">
        <x:v>Vir podatka</x:v>
      </x:c>
      <x:c r="D38" s="85" t="str">
        <x:v>Za vsak znesek: izvoz, dokument/inventura, interna ocena, razpon, ne vem, nič ali ni relevantno?</x:v>
      </x:c>
      <x:c r="E38" s="85" t="str">
        <x:v>izbira</x:v>
      </x:c>
      <x:c r="F38" s="85" t="str">
        <x:v>CONTEXT</x:v>
      </x:c>
      <x:c r="G38" s="85" t="str">
        <x:v>Da</x:v>
      </x:c>
      <x:c r="H38" s="85" t="str">
        <x:v>ne vem ≠ 0</x:v>
      </x:c>
      <x:c r="I38" s="85" t="str">
        <x:v>uporabnik</x:v>
      </x:c>
      <x:c r="J38" s="86" t="str">
        <x:v>—</x:v>
      </x:c>
    </x:row>
    <x:row r="39" ht="45" customHeight="1">
      <x:c r="A39" s="87" t="str">
        <x:v>Q35</x:v>
      </x:c>
      <x:c r="B39" s="88" t="str">
        <x:v>Kakovost</x:v>
      </x:c>
      <x:c r="C39" s="88" t="str">
        <x:v>Glavni vzrok</x:v>
      </x:c>
      <x:c r="D39" s="88" t="str">
        <x:v>Ali je vzrok sistem/proces, dobavitelj, kraja, fizična škoda ali drug zunanji dejavnik?</x:v>
      </x:c>
      <x:c r="E39" s="88" t="str">
        <x:v>izbira</x:v>
      </x:c>
      <x:c r="F39" s="88" t="str">
        <x:v>ROOT_CAUSE</x:v>
      </x:c>
      <x:c r="G39" s="88" t="str">
        <x:v>Da</x:v>
      </x:c>
      <x:c r="H39" s="88" t="str">
        <x:v>navedi najboljši vzrok</x:v>
      </x:c>
      <x:c r="I39" s="88" t="str">
        <x:v>procesni lastnik</x:v>
      </x:c>
      <x:c r="J39" s="89" t="str">
        <x:v>naslovljivost je odvisna od vzroka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53e99ea2f6a452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50" hidden="0" customWidth="1"/>
    <x:col min="4" max="4" width="20" hidden="0" customWidth="1"/>
    <x:col min="5" max="5" width="28" hidden="0" customWidth="1"/>
    <x:col min="6" max="6" width="40" hidden="0" customWidth="1"/>
    <x:col min="7" max="7" width="12" hidden="0" customWidth="1"/>
  </x:cols>
  <x:sheetData>
    <x:row r="1" ht="38" customHeight="1">
      <x:c r="A1" s="4" t="str">
        <x:v>Regulatorni in tehnični koledar</x:v>
      </x:c>
      <x:c r="B1" s="4"/>
      <x:c r="C1" s="4"/>
      <x:c r="D1" s="4"/>
      <x:c r="E1" s="4"/>
      <x:c r="F1" s="4"/>
      <x:c r="G1" s="4"/>
    </x:row>
    <x:row r="2" ht="34" customHeight="1">
      <x:c r="A2" s="52" t="str">
        <x:v>Koledar se uporablja samo tam, kjer ustvarja konkreten operativni primer. Pred pravno odločitvijo preveri veljavno besedilo predpisa in proces podjetja.</x:v>
      </x:c>
      <x:c r="B2" s="52"/>
      <x:c r="C2" s="52"/>
      <x:c r="D2" s="52"/>
      <x:c r="E2" s="52"/>
      <x:c r="F2" s="52"/>
      <x:c r="G2" s="52"/>
    </x:row>
    <x:row r="4" ht="28" customHeight="1">
      <x:c r="A4" s="59" t="str">
        <x:v>ID</x:v>
      </x:c>
      <x:c r="B4" s="60" t="str">
        <x:v>Tema</x:v>
      </x:c>
      <x:c r="C4" s="60" t="str">
        <x:v>Operativna posledica</x:v>
      </x:c>
      <x:c r="D4" s="60" t="str">
        <x:v>Čas</x:v>
      </x:c>
      <x:c r="E4" s="60" t="str">
        <x:v>Proces</x:v>
      </x:c>
      <x:c r="F4" s="60" t="str">
        <x:v>Prodajni signal</x:v>
      </x:c>
      <x:c r="G4" s="61" t="str">
        <x:v>Vir</x:v>
      </x:c>
    </x:row>
    <x:row r="5" ht="24" customHeight="1">
      <x:c r="A5" s="81" t="str">
        <x:v>R01</x:v>
      </x:c>
      <x:c r="B5" s="82" t="str">
        <x:v>Davčno potrjevanje računov</x:v>
      </x:c>
      <x:c r="C5" s="82" t="str">
        <x:v>sledljiv POS, poslovni prostor, naprava, številčenje</x:v>
      </x:c>
      <x:c r="D5" s="82" t="str">
        <x:v>trenutno</x:v>
      </x:c>
      <x:c r="E5" s="82" t="str">
        <x:v>POS/finance</x:v>
      </x:c>
      <x:c r="F5" s="82" t="str">
        <x:v>več blagajn ali ločene lokacije</x:v>
      </x:c>
      <x:c r="G5" s="83" t="str">
        <x:v>FURS-01</x:v>
      </x:c>
    </x:row>
    <x:row r="6" ht="24" customHeight="1">
      <x:c r="A6" s="84" t="str">
        <x:v>R02</x:v>
      </x:c>
      <x:c r="B6" s="85" t="str">
        <x:v>Znižanja cen</x:v>
      </x:c>
      <x:c r="C6" s="85" t="str">
        <x:v>dokaz zgodovine cen in pravilna oznaka prejšnje cene</x:v>
      </x:c>
      <x:c r="D6" s="85" t="str">
        <x:v>trenutno</x:v>
      </x:c>
      <x:c r="E6" s="85" t="str">
        <x:v>cenik/promocija</x:v>
      </x:c>
      <x:c r="F6" s="85" t="str">
        <x:v>pogosta znižanja; splet + fizični kanal</x:v>
      </x:c>
      <x:c r="G6" s="86" t="str">
        <x:v>SPOT-02</x:v>
      </x:c>
    </x:row>
    <x:row r="7" ht="24" customHeight="1">
      <x:c r="A7" s="84" t="str">
        <x:v>R03</x:v>
      </x:c>
      <x:c r="B7" s="85" t="str">
        <x:v>Spletna prodaja</x:v>
      </x:c>
      <x:c r="C7" s="85" t="str">
        <x:v>informacije, dobava, odstop in vračila</x:v>
      </x:c>
      <x:c r="D7" s="85" t="str">
        <x:v>trenutno</x:v>
      </x:c>
      <x:c r="E7" s="85" t="str">
        <x:v>OMS/fulfilment/servis</x:v>
      </x:c>
      <x:c r="F7" s="85" t="str">
        <x:v>višji delež e-prodaje ali marketplace</x:v>
      </x:c>
      <x:c r="G7" s="86" t="str">
        <x:v>SPOT-01</x:v>
      </x:c>
    </x:row>
    <x:row r="8" ht="24" customHeight="1">
      <x:c r="A8" s="84" t="str">
        <x:v>R04</x:v>
      </x:c>
      <x:c r="B8" s="85" t="str">
        <x:v>B2B e-računi</x:v>
      </x:c>
      <x:c r="C8" s="85" t="str">
        <x:v>strukturirana domača izmenjava dokumentov</x:v>
      </x:c>
      <x:c r="D8" s="85" t="str">
        <x:v>1. 1. 2028</x:v>
      </x:c>
      <x:c r="E8" s="85" t="str">
        <x:v>nabava/finance/DMS</x:v>
      </x:c>
      <x:c r="F8" s="85" t="str">
        <x:v>veliko dobaviteljev ali B2B kupcev</x:v>
      </x:c>
      <x:c r="G8" s="86" t="str">
        <x:v>GOV-01</x:v>
      </x:c>
    </x:row>
    <x:row r="9" ht="24" customHeight="1">
      <x:c r="A9" s="84" t="str">
        <x:v>R05</x:v>
      </x:c>
      <x:c r="B9" s="85" t="str">
        <x:v>GPSR</x:v>
      </x:c>
      <x:c r="C9" s="85" t="str">
        <x:v>varnost izdelka, sledljivost in ukrepanje pri nevarnem izdelku</x:v>
      </x:c>
      <x:c r="D9" s="85" t="str">
        <x:v>veljavno</x:v>
      </x:c>
      <x:c r="E9" s="85" t="str">
        <x:v>master data/serije/odpoklic</x:v>
      </x:c>
      <x:c r="F9" s="85" t="str">
        <x:v>uvoznik, zasebna znamka, tehnično blago</x:v>
      </x:c>
      <x:c r="G9" s="86" t="str">
        <x:v>EU-02</x:v>
      </x:c>
    </x:row>
    <x:row r="10" ht="24" customHeight="1">
      <x:c r="A10" s="84" t="str">
        <x:v>R06</x:v>
      </x:c>
      <x:c r="B10" s="85" t="str">
        <x:v>PPWR</x:v>
      </x:c>
      <x:c r="C10" s="85" t="str">
        <x:v>podatki o embalaži in odgovornost v dobavni verigi</x:v>
      </x:c>
      <x:c r="D10" s="85" t="str">
        <x:v>12. 8. 2026 praviloma</x:v>
      </x:c>
      <x:c r="E10" s="85" t="str">
        <x:v>nabava/artikli/dokumenti</x:v>
      </x:c>
      <x:c r="F10" s="85" t="str">
        <x:v>uvoznik/zasebna znamka</x:v>
      </x:c>
      <x:c r="G10" s="86" t="str">
        <x:v>EU-03</x:v>
      </x:c>
    </x:row>
    <x:row r="11" ht="24" customHeight="1">
      <x:c r="A11" s="84" t="str">
        <x:v>R07</x:v>
      </x:c>
      <x:c r="B11" s="85" t="str">
        <x:v>Roki/odpoklic</x:v>
      </x:c>
      <x:c r="C11" s="85" t="str">
        <x:v>ciljna sled lota/serije in izločitev artikla</x:v>
      </x:c>
      <x:c r="D11" s="85" t="str">
        <x:v>odvisno od blaga</x:v>
      </x:c>
      <x:c r="E11" s="85" t="str">
        <x:v>prevzem–prodaja–vračilo</x:v>
      </x:c>
      <x:c r="F11" s="85" t="str">
        <x:v>pokvarljivo ali sledljivo blago</x:v>
      </x:c>
      <x:c r="G11" s="86" t="str">
        <x:v>GS1-01</x:v>
      </x:c>
    </x:row>
    <x:row r="12" ht="24" customHeight="1">
      <x:c r="A12" s="87" t="str">
        <x:v>R08</x:v>
      </x:c>
      <x:c r="B12" s="88" t="str">
        <x:v>Stare različice infrastrukture</x:v>
      </x:c>
      <x:c r="C12" s="88" t="str">
        <x:v>SQL Server 2016 brez razširjene podpore; WS 2016 do januarja 2027</x:v>
      </x:c>
      <x:c r="D12" s="88" t="str">
        <x:v>2026/2027</x:v>
      </x:c>
      <x:c r="E12" s="88" t="str">
        <x:v>IT</x:v>
      </x:c>
      <x:c r="F12" s="88" t="str">
        <x:v>stara infrastruktura</x:v>
      </x:c>
      <x:c r="G12" s="89" t="str">
        <x:v>MS-01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d970afee324ce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3" hidden="0" customWidth="1"/>
    <x:col min="4" max="4" width="54" hidden="0" customWidth="1"/>
    <x:col min="5" max="5" width="18" hidden="0" customWidth="1"/>
    <x:col min="6" max="6" width="22" hidden="0" customWidth="1"/>
    <x:col min="7" max="7" width="50" hidden="0" customWidth="1"/>
    <x:col min="8" max="8" width="22" hidden="0" customWidth="1"/>
  </x:cols>
  <x:sheetData>
    <x:row r="1" ht="38" customHeight="1">
      <x:c r="A1" s="4" t="str">
        <x:v>Integracijska arhitektura</x:v>
      </x:c>
      <x:c r="B1" s="4"/>
      <x:c r="C1" s="4"/>
      <x:c r="D1" s="4"/>
      <x:c r="E1" s="4"/>
      <x:c r="F1" s="4"/>
      <x:c r="G1" s="4"/>
      <x:c r="H1" s="4"/>
    </x:row>
    <x:row r="2" ht="34" customHeight="1">
      <x:c r="A2" s="52" t="str">
        <x:v>Za vsako povezavo se pred podpisom določi sistem resnice, smer/frekvenca prenosa, lastnik napak, testni primeri in TCO vzdrževanja.</x:v>
      </x:c>
      <x:c r="B2" s="52"/>
      <x:c r="C2" s="52"/>
      <x:c r="D2" s="52"/>
      <x:c r="E2" s="52"/>
      <x:c r="F2" s="52"/>
      <x:c r="G2" s="52"/>
      <x:c r="H2" s="52"/>
    </x:row>
    <x:row r="4" ht="28" customHeight="1">
      <x:c r="A4" s="59" t="str">
        <x:v>ID</x:v>
      </x:c>
      <x:c r="B4" s="60" t="str">
        <x:v>Povezava</x:v>
      </x:c>
      <x:c r="C4" s="60" t="str">
        <x:v>Tok</x:v>
      </x:c>
      <x:c r="D4" s="60" t="str">
        <x:v>Podatkovni objekti</x:v>
      </x:c>
      <x:c r="E4" s="60" t="str">
        <x:v>Frekvenca</x:v>
      </x:c>
      <x:c r="F4" s="60" t="str">
        <x:v>Lastnik</x:v>
      </x:c>
      <x:c r="G4" s="60" t="str">
        <x:v>Kaj preveriti</x:v>
      </x:c>
      <x:c r="H4" s="61" t="str">
        <x:v>Status</x:v>
      </x:c>
    </x:row>
    <x:row r="5" ht="24" customHeight="1">
      <x:c r="A5" s="81" t="str">
        <x:v>I01</x:v>
      </x:c>
      <x:c r="B5" s="82" t="str">
        <x:v>POS terminali</x:v>
      </x:c>
      <x:c r="C5" s="82" t="str">
        <x:v>PANTHEON ↔ terminal</x:v>
      </x:c>
      <x:c r="D5" s="82" t="str">
        <x:v>plačilo, status, zaključek</x:v>
      </x:c>
      <x:c r="E5" s="82" t="str">
        <x:v>sprotno</x:v>
      </x:c>
      <x:c r="F5" s="82" t="str">
        <x:v>IT/partner</x:v>
      </x:c>
      <x:c r="G5" s="82" t="str">
        <x:v>model terminala, obravnava napake</x:v>
      </x:c>
      <x:c r="H5" s="83" t="str">
        <x:v>obvezno preveriti</x:v>
      </x:c>
    </x:row>
    <x:row r="6" ht="24" customHeight="1">
      <x:c r="A6" s="84" t="str">
        <x:v>I02</x:v>
      </x:c>
      <x:c r="B6" s="85" t="str">
        <x:v>Spletna trgovina</x:v>
      </x:c>
      <x:c r="C6" s="85" t="str">
        <x:v>PANTHEON ↔ e-commerce</x:v>
      </x:c>
      <x:c r="D6" s="85" t="str">
        <x:v>artikel, cena, zaloga, naročilo, vračilo</x:v>
      </x:c>
      <x:c r="E6" s="85" t="str">
        <x:v>sprotno/paketno</x:v>
      </x:c>
      <x:c r="F6" s="85" t="str">
        <x:v>partner/IT</x:v>
      </x:c>
      <x:c r="G6" s="85" t="str">
        <x:v>sistem resnice, konektor, retry</x:v>
      </x:c>
      <x:c r="H6" s="86" t="str">
        <x:v>obvezno preveriti</x:v>
      </x:c>
    </x:row>
    <x:row r="7" ht="24" customHeight="1">
      <x:c r="A7" s="84" t="str">
        <x:v>I03</x:v>
      </x:c>
      <x:c r="B7" s="85" t="str">
        <x:v>Marketplace</x:v>
      </x:c>
      <x:c r="C7" s="85" t="str">
        <x:v>PANTHEON ↔ tržnica</x:v>
      </x:c>
      <x:c r="D7" s="85" t="str">
        <x:v>katalog, zaloga, naročilo, provizije</x:v>
      </x:c>
      <x:c r="E7" s="85" t="str">
        <x:v>sprotno/paketno</x:v>
      </x:c>
      <x:c r="F7" s="85" t="str">
        <x:v>partner/IT</x:v>
      </x:c>
      <x:c r="G7" s="85" t="str">
        <x:v>kanalna pravila in kazni</x:v>
      </x:c>
      <x:c r="H7" s="86" t="str">
        <x:v>obvezno preveriti</x:v>
      </x:c>
    </x:row>
    <x:row r="8" ht="24" customHeight="1">
      <x:c r="A8" s="84" t="str">
        <x:v>I04</x:v>
      </x:c>
      <x:c r="B8" s="85" t="str">
        <x:v>Kurir/dostava</x:v>
      </x:c>
      <x:c r="C8" s="85" t="str">
        <x:v>PANTHEON/OMS ↔ kurir</x:v>
      </x:c>
      <x:c r="D8" s="85" t="str">
        <x:v>etiketa, status, povratna logistika</x:v>
      </x:c>
      <x:c r="E8" s="85" t="str">
        <x:v>sprotno</x:v>
      </x:c>
      <x:c r="F8" s="85" t="str">
        <x:v>partner/IT</x:v>
      </x:c>
      <x:c r="G8" s="85" t="str">
        <x:v>SLA, vračilo, strošek</x:v>
      </x:c>
      <x:c r="H8" s="86" t="str">
        <x:v>obvezno preveriti</x:v>
      </x:c>
    </x:row>
    <x:row r="9" ht="24" customHeight="1">
      <x:c r="A9" s="84" t="str">
        <x:v>I05</x:v>
      </x:c>
      <x:c r="B9" s="85" t="str">
        <x:v>Skenerji/mobilna inventura</x:v>
      </x:c>
      <x:c r="C9" s="85" t="str">
        <x:v>PANTHEON ↔ naprava</x:v>
      </x:c>
      <x:c r="D9" s="85" t="str">
        <x:v>črtna koda, inventura, lokacija</x:v>
      </x:c>
      <x:c r="E9" s="85" t="str">
        <x:v>sprotno</x:v>
      </x:c>
      <x:c r="F9" s="85" t="str">
        <x:v>warehouse lead</x:v>
      </x:c>
      <x:c r="G9" s="85" t="str">
        <x:v>tip naprave, Wi‑Fi, pravice</x:v>
      </x:c>
      <x:c r="H9" s="86" t="str">
        <x:v>PANT-03</x:v>
      </x:c>
    </x:row>
    <x:row r="10" ht="24" customHeight="1">
      <x:c r="A10" s="84" t="str">
        <x:v>I06</x:v>
      </x:c>
      <x:c r="B10" s="85" t="str">
        <x:v>Tehtnice</x:v>
      </x:c>
      <x:c r="C10" s="85" t="str">
        <x:v>PANTHEON/POS ↔ tehtnica</x:v>
      </x:c>
      <x:c r="D10" s="85" t="str">
        <x:v>teža, artikel, cena</x:v>
      </x:c>
      <x:c r="E10" s="85" t="str">
        <x:v>sprotno</x:v>
      </x:c>
      <x:c r="F10" s="85" t="str">
        <x:v>IT/partner</x:v>
      </x:c>
      <x:c r="G10" s="85" t="str">
        <x:v>model, kalibracija, zakonodaja</x:v>
      </x:c>
      <x:c r="H10" s="86" t="str">
        <x:v>obvezno preveriti</x:v>
      </x:c>
    </x:row>
    <x:row r="11" ht="24" customHeight="1">
      <x:c r="A11" s="84" t="str">
        <x:v>I07</x:v>
      </x:c>
      <x:c r="B11" s="85" t="str">
        <x:v>DMS/OCR</x:v>
      </x:c>
      <x:c r="C11" s="85" t="str">
        <x:v>PANTHEON ↔ DMS/OCR</x:v>
      </x:c>
      <x:c r="D11" s="85" t="str">
        <x:v>dokument, metapodatki, kontiranje</x:v>
      </x:c>
      <x:c r="E11" s="85" t="str">
        <x:v>paketno/sprotno</x:v>
      </x:c>
      <x:c r="F11" s="85" t="str">
        <x:v>finance/IT</x:v>
      </x:c>
      <x:c r="G11" s="85" t="str">
        <x:v>OCR zanesljivost, approval</x:v>
      </x:c>
      <x:c r="H11" s="86" t="str">
        <x:v>PANT-04</x:v>
      </x:c>
    </x:row>
    <x:row r="12" ht="24" customHeight="1">
      <x:c r="A12" s="84" t="str">
        <x:v>I08</x:v>
      </x:c>
      <x:c r="B12" s="85" t="str">
        <x:v>Banka/plačila</x:v>
      </x:c>
      <x:c r="C12" s="85" t="str">
        <x:v>PANTHEON ↔ banka</x:v>
      </x:c>
      <x:c r="D12" s="85" t="str">
        <x:v>izpisek, plačilo, uskladitev</x:v>
      </x:c>
      <x:c r="E12" s="85" t="str">
        <x:v>paketno</x:v>
      </x:c>
      <x:c r="F12" s="85" t="str">
        <x:v>finance</x:v>
      </x:c>
      <x:c r="G12" s="85" t="str">
        <x:v>format in pooblastila</x:v>
      </x:c>
      <x:c r="H12" s="86" t="str">
        <x:v>PANT-04</x:v>
      </x:c>
    </x:row>
    <x:row r="13" ht="24" customHeight="1">
      <x:c r="A13" s="84" t="str">
        <x:v>I09</x:v>
      </x:c>
      <x:c r="B13" s="85" t="str">
        <x:v>CRM/loyalty</x:v>
      </x:c>
      <x:c r="C13" s="85" t="str">
        <x:v>PANTHEON ↔ CRM</x:v>
      </x:c>
      <x:c r="D13" s="85" t="str">
        <x:v>kupec, segment, promocija</x:v>
      </x:c>
      <x:c r="E13" s="85" t="str">
        <x:v>sprotno/paketno</x:v>
      </x:c>
      <x:c r="F13" s="85" t="str">
        <x:v>marketing/IT</x:v>
      </x:c>
      <x:c r="G13" s="85" t="str">
        <x:v>GDPR, sistem resnice</x:v>
      </x:c>
      <x:c r="H13" s="86" t="str">
        <x:v>obvezno preveriti</x:v>
      </x:c>
    </x:row>
    <x:row r="14" ht="24" customHeight="1">
      <x:c r="A14" s="84" t="str">
        <x:v>I10</x:v>
      </x:c>
      <x:c r="B14" s="85" t="str">
        <x:v>BI</x:v>
      </x:c>
      <x:c r="C14" s="85" t="str">
        <x:v>PANTHEON ↔ BI</x:v>
      </x:c>
      <x:c r="D14" s="85" t="str">
        <x:v>transakcije, zaloga, marža, KPI</x:v>
      </x:c>
      <x:c r="E14" s="85" t="str">
        <x:v>dnevno/sprotno</x:v>
      </x:c>
      <x:c r="F14" s="85" t="str">
        <x:v>finance/BI</x:v>
      </x:c>
      <x:c r="G14" s="85" t="str">
        <x:v>definicija KPI in refresh</x:v>
      </x:c>
      <x:c r="H14" s="86" t="str">
        <x:v>obvezno preveriti</x:v>
      </x:c>
    </x:row>
    <x:row r="15" ht="24" customHeight="1">
      <x:c r="A15" s="84" t="str">
        <x:v>I11</x:v>
      </x:c>
      <x:c r="B15" s="85" t="str">
        <x:v>WMS</x:v>
      </x:c>
      <x:c r="C15" s="85" t="str">
        <x:v>PANTHEON ↔ WMS</x:v>
      </x:c>
      <x:c r="D15" s="85" t="str">
        <x:v>naročilo, zaloga, lokacija, picking</x:v>
      </x:c>
      <x:c r="E15" s="85" t="str">
        <x:v>sprotno</x:v>
      </x:c>
      <x:c r="F15" s="85" t="str">
        <x:v>warehouse/IT</x:v>
      </x:c>
      <x:c r="G15" s="85" t="str">
        <x:v>lastnik procesa, izjemni tokovi</x:v>
      </x:c>
      <x:c r="H15" s="86" t="str">
        <x:v>obvezno preveriti</x:v>
      </x:c>
    </x:row>
    <x:row r="16" ht="24" customHeight="1">
      <x:c r="A16" s="87" t="str">
        <x:v>I12</x:v>
      </x:c>
      <x:c r="B16" s="88" t="str">
        <x:v>HR/evidence</x:v>
      </x:c>
      <x:c r="C16" s="88" t="str">
        <x:v>PANTHEON ↔ HR</x:v>
      </x:c>
      <x:c r="D16" s="88" t="str">
        <x:v>ure, dodatki, odsotnosti</x:v>
      </x:c>
      <x:c r="E16" s="88" t="str">
        <x:v>paketno</x:v>
      </x:c>
      <x:c r="F16" s="88" t="str">
        <x:v>HR/finance</x:v>
      </x:c>
      <x:c r="G16" s="88" t="str">
        <x:v>pravila plač in lastnik</x:v>
      </x:c>
      <x:c r="H16" s="89" t="str">
        <x:v>obvezno preveriti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a1a2c7c8d0545b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17" hidden="0" customWidth="1"/>
    <x:col min="4" max="4" width="16" hidden="0" customWidth="1"/>
    <x:col min="5" max="5" width="35" hidden="0" customWidth="1"/>
    <x:col min="6" max="6" width="75" hidden="0" customWidth="1"/>
    <x:col min="7" max="7" width="50" hidden="0" customWidth="1"/>
  </x:cols>
  <x:sheetData>
    <x:row r="1" ht="38" customHeight="1">
      <x:c r="A1" s="4" t="str">
        <x:v>Register ključnih virov</x:v>
      </x:c>
      <x:c r="B1" s="4"/>
      <x:c r="C1" s="4"/>
      <x:c r="D1" s="4"/>
      <x:c r="E1" s="4"/>
      <x:c r="F1" s="4"/>
      <x:c r="G1" s="4"/>
    </x:row>
    <x:row r="2" ht="34" customHeight="1">
      <x:c r="A2" s="52" t="str">
        <x:v>URL-ji so zapisani v celoti za audit. Produktni viri dokazujejo javno navedeno sposobnost, ne dejanske prihranke ali potrjen scope posamezne konfiguracije.</x:v>
      </x:c>
      <x:c r="B2" s="52"/>
      <x:c r="C2" s="52"/>
      <x:c r="D2" s="52"/>
      <x:c r="E2" s="52"/>
      <x:c r="F2" s="52"/>
      <x:c r="G2" s="52"/>
    </x:row>
    <x:row r="4" ht="28" customHeight="1">
      <x:c r="A4" s="59" t="str">
        <x:v>ID</x:v>
      </x:c>
      <x:c r="B4" s="60" t="str">
        <x:v>Vir</x:v>
      </x:c>
      <x:c r="C4" s="60" t="str">
        <x:v>Tip</x:v>
      </x:c>
      <x:c r="D4" s="60" t="str">
        <x:v>Dostopano</x:v>
      </x:c>
      <x:c r="E4" s="60" t="str">
        <x:v>Uporaba</x:v>
      </x:c>
      <x:c r="F4" s="60" t="str">
        <x:v>URL</x:v>
      </x:c>
      <x:c r="G4" s="61" t="str">
        <x:v>Opomba</x:v>
      </x:c>
    </x:row>
    <x:row r="5" ht="24" customHeight="1">
      <x:c r="A5" s="81" t="str">
        <x:v>SURS-01</x:v>
      </x:c>
      <x:c r="B5" s="82" t="str">
        <x:v>SURS – Retail trade and wholesale, commission trade, 2025</x:v>
      </x:c>
      <x:c r="C5" s="82" t="str">
        <x:v>Uradni</x:v>
      </x:c>
      <x:c r="D5" s="82" t="str">
        <x:v>2026-08-07</x:v>
      </x:c>
      <x:c r="E5" s="82" t="str">
        <x:v>tržni promet in struktura</x:v>
      </x:c>
      <x:c r="F5" s="155" t="str">
        <x:v>https://www.stat.si/StatWeb/en/News/Index/14479</x:v>
      </x:c>
      <x:c r="G5" s="83" t="str">
        <x:v>nova SKD 2025; previdno s časovnimi primerjavami</x:v>
      </x:c>
    </x:row>
    <x:row r="6" ht="24" customHeight="1">
      <x:c r="A6" s="84" t="str">
        <x:v>SURS-02</x:v>
      </x:c>
      <x:c r="B6" s="85" t="str">
        <x:v>SURS – Turnover in retail trade, June 2026</x:v>
      </x:c>
      <x:c r="C6" s="85" t="str">
        <x:v>Uradni</x:v>
      </x:c>
      <x:c r="D6" s="85" t="str">
        <x:v>2026-08-07</x:v>
      </x:c>
      <x:c r="E6" s="85" t="str">
        <x:v>količinski kontekst H1 2026</x:v>
      </x:c>
      <x:c r="F6" s="156" t="str">
        <x:v>https://www.stat.si/StatWeb/en/News/Index/14496</x:v>
      </x:c>
      <x:c r="G6" s="86" t="str">
        <x:v>makro kontekst, ne ROI driver</x:v>
      </x:c>
    </x:row>
    <x:row r="7" ht="24" customHeight="1">
      <x:c r="A7" s="84" t="str">
        <x:v>PANT-01</x:v>
      </x:c>
      <x:c r="B7" s="85" t="str">
        <x:v>Datalab – PANTHEON Retail Advanced POS</x:v>
      </x:c>
      <x:c r="C7" s="85" t="str">
        <x:v>Produktni</x:v>
      </x:c>
      <x:c r="D7" s="85" t="str">
        <x:v>2026-08-07</x:v>
      </x:c>
      <x:c r="E7" s="85" t="str">
        <x:v>POS, zaloga, ceniki, lokacije, poročanje</x:v>
      </x:c>
      <x:c r="F7" s="156" t="str">
        <x:v>https://www.datalab.eu/pantheon/retail-advanced-pos/</x:v>
      </x:c>
      <x:c r="G7" s="86" t="str">
        <x:v>preveri scope konkretne konfiguracije</x:v>
      </x:c>
    </x:row>
    <x:row r="8" ht="24" customHeight="1">
      <x:c r="A8" s="84" t="str">
        <x:v>PANT-02</x:v>
      </x:c>
      <x:c r="B8" s="85" t="str">
        <x:v>Datalab – Sales and Purchase Orders</x:v>
      </x:c>
      <x:c r="C8" s="85" t="str">
        <x:v>Produktni</x:v>
      </x:c>
      <x:c r="D8" s="85" t="str">
        <x:v>2026-08-07</x:v>
      </x:c>
      <x:c r="E8" s="85" t="str">
        <x:v>naročila, nabava, dobava, partnerji</x:v>
      </x:c>
      <x:c r="F8" s="156" t="str">
        <x:v>https://www.datalab.eu/functionalities/sales-and-purchase-orders/</x:v>
      </x:c>
      <x:c r="G8" s="86" t="str">
        <x:v>integracije niso samoumevne</x:v>
      </x:c>
    </x:row>
    <x:row r="9" ht="24" customHeight="1">
      <x:c r="A9" s="84" t="str">
        <x:v>PANT-03</x:v>
      </x:c>
      <x:c r="B9" s="85" t="str">
        <x:v>Datalab – Warehouse Inventory Granule</x:v>
      </x:c>
      <x:c r="C9" s="85" t="str">
        <x:v>Produktni</x:v>
      </x:c>
      <x:c r="D9" s="85" t="str">
        <x:v>2026-08-07</x:v>
      </x:c>
      <x:c r="E9" s="85" t="str">
        <x:v>mobilna inventura in skeniranje</x:v>
      </x:c>
      <x:c r="F9" s="156" t="str">
        <x:v>https://www.datalab.eu/pantheon-granule/warehouse-inventory-granule/</x:v>
      </x:c>
      <x:c r="G9" s="86" t="str">
        <x:v>preveri napravo in postopek</x:v>
      </x:c>
    </x:row>
    <x:row r="10" ht="24" customHeight="1">
      <x:c r="A10" s="84" t="str">
        <x:v>PANT-04</x:v>
      </x:c>
      <x:c r="B10" s="85" t="str">
        <x:v>Datalab – eBusiness</x:v>
      </x:c>
      <x:c r="C10" s="85" t="str">
        <x:v>Produktni</x:v>
      </x:c>
      <x:c r="D10" s="85" t="str">
        <x:v>2026-08-07</x:v>
      </x:c>
      <x:c r="E10" s="85" t="str">
        <x:v>eSlog, e-dokumenti, partnerji</x:v>
      </x:c>
      <x:c r="F10" s="156" t="str">
        <x:v>https://www.datalab.eu/functionalities/ebusiness/</x:v>
      </x:c>
      <x:c r="G10" s="86" t="str">
        <x:v>preveri partnerje/konektor</x:v>
      </x:c>
    </x:row>
    <x:row r="11" ht="24" customHeight="1">
      <x:c r="A11" s="84" t="str">
        <x:v>GS1-01</x:v>
      </x:c>
      <x:c r="B11" s="85" t="str">
        <x:v>GS1 – 2D Barcodes at Retail POS</x:v>
      </x:c>
      <x:c r="C11" s="85" t="str">
        <x:v>Standard</x:v>
      </x:c>
      <x:c r="D11" s="85" t="str">
        <x:v>2026-08-07</x:v>
      </x:c>
      <x:c r="E11" s="85" t="str">
        <x:v>loti, roki, odpoklic, markdown</x:v>
      </x:c>
      <x:c r="F11" s="156" t="str">
        <x:v>https://ref.gs1.org/guidelines/2d-in-retail/</x:v>
      </x:c>
      <x:c r="G11" s="86" t="str">
        <x:v>standardizacijski cilj, ne potrjen scope rešitve</x:v>
      </x:c>
    </x:row>
    <x:row r="12" ht="24" customHeight="1">
      <x:c r="A12" s="84" t="str">
        <x:v>FURS-01</x:v>
      </x:c>
      <x:c r="B12" s="85" t="str">
        <x:v>FURS – davčne blagajne</x:v>
      </x:c>
      <x:c r="C12" s="85" t="str">
        <x:v>Uradni</x:v>
      </x:c>
      <x:c r="D12" s="85" t="str">
        <x:v>2026-08-07</x:v>
      </x:c>
      <x:c r="E12" s="85" t="str">
        <x:v>davčno potrjevanje računov</x:v>
      </x:c>
      <x:c r="F12" s="156" t="str">
        <x:v>https://www.fu.gov.si/nadzor/podrocja/davcne_blagajne_in_vezane_knjige_racunov_vkr/</x:v>
      </x:c>
      <x:c r="G12" s="86" t="str">
        <x:v>preveri aktualne zahteve</x:v>
      </x:c>
    </x:row>
    <x:row r="13" ht="24" customHeight="1">
      <x:c r="A13" s="84" t="str">
        <x:v>SPOT-01</x:v>
      </x:c>
      <x:c r="B13" s="85" t="str">
        <x:v>SPOT – spletna prodaja</x:v>
      </x:c>
      <x:c r="C13" s="85" t="str">
        <x:v>Uradni</x:v>
      </x:c>
      <x:c r="D13" s="85" t="str">
        <x:v>2026-08-07</x:v>
      </x:c>
      <x:c r="E13" s="85" t="str">
        <x:v>odstop, dobava in vračila</x:v>
      </x:c>
      <x:c r="F13" s="156" t="str">
        <x:v>https://spot.gov.si/sl/teme/spletna-prodaja</x:v>
      </x:c>
      <x:c r="G13" s="86" t="str">
        <x:v>praviloma 14 dni z izjemami</x:v>
      </x:c>
    </x:row>
    <x:row r="14" ht="24" customHeight="1">
      <x:c r="A14" s="84" t="str">
        <x:v>SPOT-02</x:v>
      </x:c>
      <x:c r="B14" s="85" t="str">
        <x:v>SPOT – označevanje znižanih cen</x:v>
      </x:c>
      <x:c r="C14" s="85" t="str">
        <x:v>Uradni</x:v>
      </x:c>
      <x:c r="D14" s="85" t="str">
        <x:v>2026-08-07</x:v>
      </x:c>
      <x:c r="E14" s="85" t="str">
        <x:v>prejšnja cena in znižanja</x:v>
      </x:c>
      <x:c r="F14" s="156" t="str">
        <x:v>https://spot.gov.si/sl/dejavnosti-in-poklici/dejavnosti/trgovina-na-drobno-v-specializiranih-prodajalnah-s-sportno-opremo</x:v>
      </x:c>
      <x:c r="G14" s="86" t="str">
        <x:v>preveri glede na kanal/lokacijo</x:v>
      </x:c>
    </x:row>
    <x:row r="15" ht="24" customHeight="1">
      <x:c r="A15" s="84" t="str">
        <x:v>GOV-01</x:v>
      </x:c>
      <x:c r="B15" s="85" t="str">
        <x:v>GOV.SI – zakon o e-računih</x:v>
      </x:c>
      <x:c r="C15" s="85" t="str">
        <x:v>Uradni</x:v>
      </x:c>
      <x:c r="D15" s="85" t="str">
        <x:v>2026-08-07</x:v>
      </x:c>
      <x:c r="E15" s="85" t="str">
        <x:v>domači B2B e-računi od 2028</x:v>
      </x:c>
      <x:c r="F15" s="156" t="str">
        <x:v>https://www.gov.si/novice/2025-10-23-drzavni-zbor-sprejel-zakon-o-izmenjavi-elektronskih-racunov-in-drugih-elektronskih-dokumentov/</x:v>
      </x:c>
      <x:c r="G15" s="86" t="str">
        <x:v>ne pomeni ukinitve B2C papirnih računov</x:v>
      </x:c>
    </x:row>
    <x:row r="16" ht="24" customHeight="1">
      <x:c r="A16" s="84" t="str">
        <x:v>EU-01</x:v>
      </x:c>
      <x:c r="B16" s="85" t="str">
        <x:v>Eurostat – e-commerce statistics for individuals</x:v>
      </x:c>
      <x:c r="C16" s="85" t="str">
        <x:v>Uradni</x:v>
      </x:c>
      <x:c r="D16" s="85" t="str">
        <x:v>2026-08-07</x:v>
      </x:c>
      <x:c r="E16" s="85" t="str">
        <x:v>e-commerce kontekst</x:v>
      </x:c>
      <x:c r="F16" s="156" t="str">
        <x:v>https://ec.europa.eu/eurostat/statistics-explained/index.php?title=E-commerce_statistics_for_individuals</x:v>
      </x:c>
      <x:c r="G16" s="86" t="str">
        <x:v>EU agregat</x:v>
      </x:c>
    </x:row>
    <x:row r="17" ht="24" customHeight="1">
      <x:c r="A17" s="84" t="str">
        <x:v>EU-02</x:v>
      </x:c>
      <x:c r="B17" s="85" t="str">
        <x:v>European Commission – GPSR</x:v>
      </x:c>
      <x:c r="C17" s="85" t="str">
        <x:v>Uradni</x:v>
      </x:c>
      <x:c r="D17" s="85" t="str">
        <x:v>2026-08-07</x:v>
      </x:c>
      <x:c r="E17" s="85" t="str">
        <x:v>varnost izdelkov in sledljivost</x:v>
      </x:c>
      <x:c r="F17" s="156" t="str">
        <x:v>https://trade.ec.europa.eu/access-to-markets/en/news/eus-general-product-safety-regulation-gpsr-new-era-consumer-protection</x:v>
      </x:c>
      <x:c r="G17" s="86" t="str">
        <x:v>ne nadomesti pravnega nasveta</x:v>
      </x:c>
    </x:row>
    <x:row r="18" ht="24" customHeight="1">
      <x:c r="A18" s="84" t="str">
        <x:v>EU-03</x:v>
      </x:c>
      <x:c r="B18" s="85" t="str">
        <x:v>European Commission – Packaging and Packaging Waste</x:v>
      </x:c>
      <x:c r="C18" s="85" t="str">
        <x:v>Uradni</x:v>
      </x:c>
      <x:c r="D18" s="85" t="str">
        <x:v>2026-08-07</x:v>
      </x:c>
      <x:c r="E18" s="85" t="str">
        <x:v>PPWR časovnica</x:v>
      </x:c>
      <x:c r="F18" s="156" t="str">
        <x:v>https://environment.ec.europa.eu/topics/waste-and-recycling/packaging-waste_en</x:v>
      </x:c>
      <x:c r="G18" s="86" t="str">
        <x:v>relevantno predvsem uvoznikom/lastnim znamkam</x:v>
      </x:c>
    </x:row>
    <x:row r="19" ht="24" customHeight="1">
      <x:c r="A19" s="84" t="str">
        <x:v>NRF-01</x:v>
      </x:c>
      <x:c r="B19" s="85" t="str">
        <x:v>NRF – Retail Returns Landscape 2025</x:v>
      </x:c>
      <x:c r="C19" s="85" t="str">
        <x:v>Benchmark</x:v>
      </x:c>
      <x:c r="D19" s="85" t="str">
        <x:v>2026-08-07</x:v>
      </x:c>
      <x:c r="E19" s="85" t="str">
        <x:v>ameriške spletne vračila</x:v>
      </x:c>
      <x:c r="F19" s="156" t="str">
        <x:v>https://nrf.com/media-center/press-releases/consumers-expected-to-return-nearly-850-billion-in-merchandise-in-2025</x:v>
      </x:c>
      <x:c r="G19" s="86" t="str">
        <x:v>ne uporabljaj kot slovensko privzeto stopnjo</x:v>
      </x:c>
    </x:row>
    <x:row r="20" ht="24" customHeight="1">
      <x:c r="A20" s="84" t="str">
        <x:v>NRF-02</x:v>
      </x:c>
      <x:c r="B20" s="85" t="str">
        <x:v>NRF – National Retail Security Survey 2023</x:v>
      </x:c>
      <x:c r="C20" s="85" t="str">
        <x:v>Benchmark</x:v>
      </x:c>
      <x:c r="D20" s="85" t="str">
        <x:v>2026-08-07</x:v>
      </x:c>
      <x:c r="E20" s="85" t="str">
        <x:v>ameriški shrink</x:v>
      </x:c>
      <x:c r="F20" s="156" t="str">
        <x:v>https://nrf.com/research/national-retail-security-survey-2023</x:v>
      </x:c>
      <x:c r="G20" s="86" t="str">
        <x:v>ne uporabljaj kot slovsko privzeto stopnjo</x:v>
      </x:c>
    </x:row>
    <x:row r="21" ht="24" customHeight="1">
      <x:c r="A21" s="84" t="str">
        <x:v>MS-01</x:v>
      </x:c>
      <x:c r="B21" s="85" t="str">
        <x:v>Microsoft – SQL Server 2016 lifecycle</x:v>
      </x:c>
      <x:c r="C21" s="85" t="str">
        <x:v>Tehnični</x:v>
      </x:c>
      <x:c r="D21" s="85" t="str">
        <x:v>2026-08-07</x:v>
      </x:c>
      <x:c r="E21" s="85" t="str">
        <x:v>podpora za SQL Server 2016</x:v>
      </x:c>
      <x:c r="F21" s="156" t="str">
        <x:v>https://learn.microsoft.com/en-us/lifecycle/products/sql-server-2016</x:v>
      </x:c>
      <x:c r="G21" s="86" t="str">
        <x:v>razširjena podpora je potekla 15. 7. 2026</x:v>
      </x:c>
    </x:row>
    <x:row r="22" ht="24" customHeight="1">
      <x:c r="A22" s="87" t="str">
        <x:v>INT-01</x:v>
      </x:c>
      <x:c r="B22" s="88" t="str">
        <x:v>Datalab_kontekst.md</x:v>
      </x:c>
      <x:c r="C22" s="88" t="str">
        <x:v>Interni kontekst</x:v>
      </x:c>
      <x:c r="D22" s="88" t="str">
        <x:v>2026-08-07</x:v>
      </x:c>
      <x:c r="E22" s="88" t="str">
        <x:v>Datalab/PANTHEON širši projektni kontekst</x:v>
      </x:c>
      <x:c r="F22" s="157" t="str">
        <x:v>internal://Datalab_kontekst.md</x:v>
      </x:c>
      <x:c r="G22" s="89" t="str">
        <x:v>pred ponudbo preveri cenik in konfiguracijo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b8c08691ef64b0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58" hidden="0" customWidth="1"/>
    <x:col min="4" max="4" width="18" hidden="0" customWidth="1"/>
    <x:col min="5" max="5" width="28" hidden="0" customWidth="1"/>
    <x:col min="6" max="6" width="30" hidden="0" customWidth="1"/>
  </x:cols>
  <x:sheetData>
    <x:row r="1" ht="38" customHeight="1">
      <x:c r="A1" s="4" t="str">
        <x:v>Raziskovalne vrzeli pred ponudbo</x:v>
      </x:c>
      <x:c r="B1" s="4"/>
      <x:c r="C1" s="4"/>
      <x:c r="D1" s="4"/>
      <x:c r="E1" s="4"/>
      <x:c r="F1" s="4"/>
    </x:row>
    <x:row r="2" ht="34" customHeight="1">
      <x:c r="A2" s="52" t="str">
        <x:v>To niso napake researcha, temveč obvezne točke za preverjanje, kadar naj se iz kalkulatorja naredi resen poslovni primer in izvedljiva ponudba.</x:v>
      </x:c>
      <x:c r="B2" s="52"/>
      <x:c r="C2" s="52"/>
      <x:c r="D2" s="52"/>
      <x:c r="E2" s="52"/>
      <x:c r="F2" s="52"/>
    </x:row>
    <x:row r="4" ht="28" customHeight="1">
      <x:c r="A4" s="59" t="str">
        <x:v>ID</x:v>
      </x:c>
      <x:c r="B4" s="60" t="str">
        <x:v>Področje</x:v>
      </x:c>
      <x:c r="C4" s="60" t="str">
        <x:v>Kaj preveriti</x:v>
      </x:c>
      <x:c r="D4" s="60" t="str">
        <x:v>Prioriteta</x:v>
      </x:c>
      <x:c r="E4" s="60" t="str">
        <x:v>Kdaj</x:v>
      </x:c>
      <x:c r="F4" s="61" t="str">
        <x:v>Lastnik preverjanja</x:v>
      </x:c>
    </x:row>
    <x:row r="5" ht="24" customHeight="1">
      <x:c r="A5" s="81" t="str">
        <x:v>G01</x:v>
      </x:c>
      <x:c r="B5" s="82" t="str">
        <x:v>Cenik/licence</x:v>
      </x:c>
      <x:c r="C5" s="82" t="str">
        <x:v>aktualni lokalni cenik, paketi in partnerski pogoji</x:v>
      </x:c>
      <x:c r="D5" s="82" t="str">
        <x:v>visoko</x:v>
      </x:c>
      <x:c r="E5" s="82" t="str">
        <x:v>pred ponudbo</x:v>
      </x:c>
      <x:c r="F5" s="83" t="str">
        <x:v>Datalab/partner</x:v>
      </x:c>
    </x:row>
    <x:row r="6" ht="24" customHeight="1">
      <x:c r="A6" s="84" t="str">
        <x:v>G02</x:v>
      </x:c>
      <x:c r="B6" s="85" t="str">
        <x:v>Sledljivost</x:v>
      </x:c>
      <x:c r="C6" s="85" t="str">
        <x:v>loti, serije, FEFO in odpoklic v ciljni konfiguraciji</x:v>
      </x:c>
      <x:c r="D6" s="85" t="str">
        <x:v>visoko</x:v>
      </x:c>
      <x:c r="E6" s="85" t="str">
        <x:v>pred obljubo funkcionalnosti</x:v>
      </x:c>
      <x:c r="F6" s="86" t="str">
        <x:v>Datalab/partner</x:v>
      </x:c>
    </x:row>
    <x:row r="7" ht="24" customHeight="1">
      <x:c r="A7" s="84" t="str">
        <x:v>G03</x:v>
      </x:c>
      <x:c r="B7" s="85" t="str">
        <x:v>Offline POS</x:v>
      </x:c>
      <x:c r="C7" s="85" t="str">
        <x:v>obseg delovanja in davčno potrjevanje ob izpadu</x:v>
      </x:c>
      <x:c r="D7" s="85" t="str">
        <x:v>visoko</x:v>
      </x:c>
      <x:c r="E7" s="85" t="str">
        <x:v>pred pilotom</x:v>
      </x:c>
      <x:c r="F7" s="86" t="str">
        <x:v>Datalab/IT</x:v>
      </x:c>
    </x:row>
    <x:row r="8" ht="24" customHeight="1">
      <x:c r="A8" s="84" t="str">
        <x:v>G04</x:v>
      </x:c>
      <x:c r="B8" s="85" t="str">
        <x:v>E-commerce</x:v>
      </x:c>
      <x:c r="C8" s="85" t="str">
        <x:v>konkreten konektor, lastnik in SLA</x:v>
      </x:c>
      <x:c r="D8" s="85" t="str">
        <x:v>visoko</x:v>
      </x:c>
      <x:c r="E8" s="85" t="str">
        <x:v>pred scope</x:v>
      </x:c>
      <x:c r="F8" s="86" t="str">
        <x:v>partner/IT</x:v>
      </x:c>
    </x:row>
    <x:row r="9" ht="24" customHeight="1">
      <x:c r="A9" s="84" t="str">
        <x:v>G05</x:v>
      </x:c>
      <x:c r="B9" s="85" t="str">
        <x:v>Naprave</x:v>
      </x:c>
      <x:c r="C9" s="85" t="str">
        <x:v>terminal, tehtnica, skener, tiskalnik, omrežje</x:v>
      </x:c>
      <x:c r="D9" s="85" t="str">
        <x:v>visoko</x:v>
      </x:c>
      <x:c r="E9" s="85" t="str">
        <x:v>pred rolloutom</x:v>
      </x:c>
      <x:c r="F9" s="86" t="str">
        <x:v>IT/partner</x:v>
      </x:c>
    </x:row>
    <x:row r="10" ht="24" customHeight="1">
      <x:c r="A10" s="84" t="str">
        <x:v>G06</x:v>
      </x:c>
      <x:c r="B10" s="85" t="str">
        <x:v>Marža</x:v>
      </x:c>
      <x:c r="C10" s="85" t="str">
        <x:v>definicija prispevne marže in stroška ure podjetja</x:v>
      </x:c>
      <x:c r="D10" s="85" t="str">
        <x:v>visoko</x:v>
      </x:c>
      <x:c r="E10" s="85" t="str">
        <x:v>pred ROI</x:v>
      </x:c>
      <x:c r="F10" s="86" t="str">
        <x:v>finance</x:v>
      </x:c>
    </x:row>
    <x:row r="11" ht="24" customHeight="1">
      <x:c r="A11" s="84" t="str">
        <x:v>G07</x:v>
      </x:c>
      <x:c r="B11" s="85" t="str">
        <x:v>Vzroki izgub</x:v>
      </x:c>
      <x:c r="C11" s="85" t="str">
        <x:v>manko, odpisi, vračila in cene po vzroku</x:v>
      </x:c>
      <x:c r="D11" s="85" t="str">
        <x:v>visoko</x:v>
      </x:c>
      <x:c r="E11" s="85" t="str">
        <x:v>pred ROI</x:v>
      </x:c>
      <x:c r="F11" s="86" t="str">
        <x:v>procesni lastnik</x:v>
      </x:c>
    </x:row>
    <x:row r="12" ht="24" customHeight="1">
      <x:c r="A12" s="84" t="str">
        <x:v>G08</x:v>
      </x:c>
      <x:c r="B12" s="85" t="str">
        <x:v>Kakovost podatkov</x:v>
      </x:c>
      <x:c r="C12" s="85" t="str">
        <x:v>šifranti, zgodovina cen, začetno stanje zalog</x:v>
      </x:c>
      <x:c r="D12" s="85" t="str">
        <x:v>srednje–visoko</x:v>
      </x:c>
      <x:c r="E12" s="85" t="str">
        <x:v>pred migracijo</x:v>
      </x:c>
      <x:c r="F12" s="86" t="str">
        <x:v>master-data lastnik</x:v>
      </x:c>
    </x:row>
    <x:row r="13" ht="24" customHeight="1">
      <x:c r="A13" s="84" t="str">
        <x:v>G09</x:v>
      </x:c>
      <x:c r="B13" s="85" t="str">
        <x:v>Panožna skladnost</x:v>
      </x:c>
      <x:c r="C13" s="85" t="str">
        <x:v>živila, zdravila, alkohol/tobak, kemikalije, garancije</x:v>
      </x:c>
      <x:c r="D13" s="85" t="str">
        <x:v>odvisno</x:v>
      </x:c>
      <x:c r="E13" s="85" t="str">
        <x:v>pred ponudbo</x:v>
      </x:c>
      <x:c r="F13" s="86" t="str">
        <x:v>pravna/panožna oseba</x:v>
      </x:c>
    </x:row>
    <x:row r="14" ht="24" customHeight="1">
      <x:c r="A14" s="87" t="str">
        <x:v>G10</x:v>
      </x:c>
      <x:c r="B14" s="88" t="str">
        <x:v>Fizična kraja</x:v>
      </x:c>
      <x:c r="C14" s="88" t="str">
        <x:v>obseg, politika in fizični ukrepi</x:v>
      </x:c>
      <x:c r="D14" s="88" t="str">
        <x:v>srednje</x:v>
      </x:c>
      <x:c r="E14" s="88" t="str">
        <x:v>pred ROI</x:v>
      </x:c>
      <x:c r="F14" s="89" t="str">
        <x:v>retail/security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d4c4cdec54f41f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7" hidden="0" customWidth="1"/>
    <x:col min="4" max="4" width="45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Prodajne in raziskovalne hipoteze</x:v>
      </x:c>
      <x:c r="B1" s="4"/>
      <x:c r="C1" s="4"/>
      <x:c r="D1" s="4"/>
      <x:c r="E1" s="4"/>
      <x:c r="F1" s="4"/>
    </x:row>
    <x:row r="2" ht="34" customHeight="1">
      <x:c r="A2" s="52" t="str">
        <x:v>Hipoteza vodi naslednje vprašanje in dokaz, nikoli pa se ne sme prikazati kot potrjena bolečina ali obljubljen finančni rezultat.</x:v>
      </x:c>
      <x:c r="B2" s="52"/>
      <x:c r="C2" s="52"/>
      <x:c r="D2" s="52"/>
      <x:c r="E2" s="52"/>
      <x:c r="F2" s="52"/>
    </x:row>
    <x:row r="4" ht="28" customHeight="1">
      <x:c r="A4" s="59" t="str">
        <x:v>ID</x:v>
      </x:c>
      <x:c r="B4" s="60" t="str">
        <x:v>Kontekst</x:v>
      </x:c>
      <x:c r="C4" s="60" t="str">
        <x:v>Hipoteza</x:v>
      </x:c>
      <x:c r="D4" s="60" t="str">
        <x:v>Dokaz</x:v>
      </x:c>
      <x:c r="E4" s="60" t="str">
        <x:v>Priporočena poteza</x:v>
      </x:c>
      <x:c r="F4" s="61" t="str">
        <x:v>Status</x:v>
      </x:c>
    </x:row>
    <x:row r="5" ht="24" customHeight="1">
      <x:c r="A5" s="81" t="str">
        <x:v>H01</x:v>
      </x:c>
      <x:c r="B5" s="82" t="str">
        <x:v>Manjša mreža</x:v>
      </x:c>
      <x:c r="C5" s="82" t="str">
        <x:v>največji učinek iz enotne zaloge in prenosov</x:v>
      </x:c>
      <x:c r="D5" s="82" t="str">
        <x:v>inventurne razlike, prenosi, ure preverjanja</x:v>
      </x:c>
      <x:c r="E5" s="82" t="str">
        <x:v>pilot 1–2 lokaciji</x:v>
      </x:c>
      <x:c r="F5" s="83" t="str">
        <x:v>hipoteza</x:v>
      </x:c>
    </x:row>
    <x:row r="6" ht="24" customHeight="1">
      <x:c r="A6" s="84" t="str">
        <x:v>H02</x:v>
      </x:c>
      <x:c r="B6" s="85" t="str">
        <x:v>Omnichannel</x:v>
      </x:c>
      <x:c r="C6" s="85" t="str">
        <x:v>glavna bolečina je oversell in ročna uskladitev</x:v>
      </x:c>
      <x:c r="D6" s="85" t="str">
        <x:v>10 odpovedi in mapping integracij</x:v>
      </x:c>
      <x:c r="E6" s="85" t="str">
        <x:v>definiran sistem resnice</x:v>
      </x:c>
      <x:c r="F6" s="86" t="str">
        <x:v>hipoteza</x:v>
      </x:c>
    </x:row>
    <x:row r="7" ht="24" customHeight="1">
      <x:c r="A7" s="84" t="str">
        <x:v>H03</x:v>
      </x:c>
      <x:c r="B7" s="85" t="str">
        <x:v>Moda/obutev</x:v>
      </x:c>
      <x:c r="C7" s="85" t="str">
        <x:v>markdown in vračila bolj vplivajo kot POS zaključek</x:v>
      </x:c>
      <x:c r="D7" s="85" t="str">
        <x:v>sell-through, markdown, vračila po velikosti</x:v>
      </x:c>
      <x:c r="E7" s="85" t="str">
        <x:v>cenik + vračilni tok</x:v>
      </x:c>
      <x:c r="F7" s="86" t="str">
        <x:v>hipoteza</x:v>
      </x:c>
    </x:row>
    <x:row r="8" ht="24" customHeight="1">
      <x:c r="A8" s="84" t="str">
        <x:v>H04</x:v>
      </x:c>
      <x:c r="B8" s="85" t="str">
        <x:v>Elektronika</x:v>
      </x:c>
      <x:c r="C8" s="85" t="str">
        <x:v>dokaz računa/serije skrajša garancijski primer</x:v>
      </x:c>
      <x:c r="D8" s="85" t="str">
        <x:v>vzorci reklamacij</x:v>
      </x:c>
      <x:c r="E8" s="85" t="str">
        <x:v>povezana serija/dokument</x:v>
      </x:c>
      <x:c r="F8" s="86" t="str">
        <x:v>hipoteza</x:v>
      </x:c>
    </x:row>
    <x:row r="9" ht="24" customHeight="1">
      <x:c r="A9" s="84" t="str">
        <x:v>H05</x:v>
      </x:c>
      <x:c r="B9" s="85" t="str">
        <x:v>Živila/kozmetika</x:v>
      </x:c>
      <x:c r="C9" s="85" t="str">
        <x:v>roki/loti in odpisi so večji vzvod</x:v>
      </x:c>
      <x:c r="D9" s="85" t="str">
        <x:v>odpisi, rok, tok lote</x:v>
      </x:c>
      <x:c r="E9" s="85" t="str">
        <x:v>sledenje po točkah</x:v>
      </x:c>
      <x:c r="F9" s="86" t="str">
        <x:v>hipoteza</x:v>
      </x:c>
    </x:row>
    <x:row r="10" ht="24" customHeight="1">
      <x:c r="A10" s="84" t="str">
        <x:v>H06</x:v>
      </x:c>
      <x:c r="B10" s="85" t="str">
        <x:v>Uvoznik</x:v>
      </x:c>
      <x:c r="C10" s="85" t="str">
        <x:v>nabavne cene/rabati in roki dobave uničujejo maržo</x:v>
      </x:c>
      <x:c r="D10" s="85" t="str">
        <x:v>naročila, prevzemi, cene, rabati</x:v>
      </x:c>
      <x:c r="E10" s="85" t="str">
        <x:v>nabavni kontrolni tok</x:v>
      </x:c>
      <x:c r="F10" s="86" t="str">
        <x:v>hipoteza</x:v>
      </x:c>
    </x:row>
    <x:row r="11" ht="24" customHeight="1">
      <x:c r="A11" s="84" t="str">
        <x:v>H07</x:v>
      </x:c>
      <x:c r="B11" s="85" t="str">
        <x:v>Raven 0–1 zrelosti</x:v>
      </x:c>
      <x:c r="C11" s="85" t="str">
        <x:v>prvi ROI je bolj kapaciteta in manj napak kot AI</x:v>
      </x:c>
      <x:c r="D11" s="85" t="str">
        <x:v>ročno delo, base tok</x:v>
      </x:c>
      <x:c r="E11" s="85" t="str">
        <x:v>standardiziran temelj</x:v>
      </x:c>
      <x:c r="F11" s="86" t="str">
        <x:v>hipoteza</x:v>
      </x:c>
    </x:row>
    <x:row r="12" ht="24" customHeight="1">
      <x:c r="A12" s="84" t="str">
        <x:v>H08</x:v>
      </x:c>
      <x:c r="B12" s="85" t="str">
        <x:v>Raven 2–3 zrelosti</x:v>
      </x:c>
      <x:c r="C12" s="85" t="str">
        <x:v>integracije in KPI prinesejo več kot samo zamenjava POS</x:v>
      </x:c>
      <x:c r="D12" s="85" t="str">
        <x:v>izjeme, API, reporti</x:v>
      </x:c>
      <x:c r="E12" s="85" t="str">
        <x:v>integracijski backlog</x:v>
      </x:c>
      <x:c r="F12" s="86" t="str">
        <x:v>hipoteza</x:v>
      </x:c>
    </x:row>
    <x:row r="13" ht="24" customHeight="1">
      <x:c r="A13" s="84" t="str">
        <x:v>H09</x:v>
      </x:c>
      <x:c r="B13" s="85" t="str">
        <x:v>Več blagajn</x:v>
      </x:c>
      <x:c r="C13" s="85" t="str">
        <x:v>dnevni zaključki so merljiv hiter pilot</x:v>
      </x:c>
      <x:c r="D13" s="85" t="str">
        <x:v>minute zaključkov, razlike</x:v>
      </x:c>
      <x:c r="E13" s="85" t="str">
        <x:v>POS/plačila proof</x:v>
      </x:c>
      <x:c r="F13" s="86" t="str">
        <x:v>hipoteza</x:v>
      </x:c>
    </x:row>
    <x:row r="14" ht="24" customHeight="1">
      <x:c r="A14" s="84" t="str">
        <x:v>H10</x:v>
      </x:c>
      <x:c r="B14" s="85" t="str">
        <x:v>Velika zaloga</x:v>
      </x:c>
      <x:c r="C14" s="85" t="str">
        <x:v>kapital je pomemben, vendar ni letni prihranek</x:v>
      </x:c>
      <x:c r="D14" s="85" t="str">
        <x:v>starost in povprečna zaloga</x:v>
      </x:c>
      <x:c r="E14" s="85" t="str">
        <x:v>ločena denarna in P&amp;L slika</x:v>
      </x:c>
      <x:c r="F14" s="86" t="str">
        <x:v>pravilo modela</x:v>
      </x:c>
    </x:row>
    <x:row r="15" ht="24" customHeight="1">
      <x:c r="A15" s="84" t="str">
        <x:v>H11</x:v>
      </x:c>
      <x:c r="B15" s="85" t="str">
        <x:v>Slabi podatki</x:v>
      </x:c>
      <x:c r="C15" s="85" t="str">
        <x:v>dokazni sprint prepreči lažen ROI</x:v>
      </x:c>
      <x:c r="D15" s="85" t="str">
        <x:v>izvoz in vzorec 30 dni</x:v>
      </x:c>
      <x:c r="E15" s="85" t="str">
        <x:v>validiran baseline</x:v>
      </x:c>
      <x:c r="F15" s="86" t="str">
        <x:v>priporočilo</x:v>
      </x:c>
    </x:row>
    <x:row r="16" ht="24" customHeight="1">
      <x:c r="A16" s="87" t="str">
        <x:v>H12</x:v>
      </x:c>
      <x:c r="B16" s="88" t="str">
        <x:v>Kraja</x:v>
      </x:c>
      <x:c r="C16" s="88" t="str">
        <x:v>ERP ne odpravi fizične kraje sam</x:v>
      </x:c>
      <x:c r="D16" s="88" t="str">
        <x:v>vzroki manjka</x:v>
      </x:c>
      <x:c r="E16" s="88" t="str">
        <x:v>fizični + procesni ukrepi</x:v>
      </x:c>
      <x:c r="F16" s="89" t="str">
        <x:v>omejitev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c1a90cfeb9c4b4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35" hidden="0" customWidth="1"/>
    <x:col min="4" max="4" width="18" hidden="0" customWidth="1"/>
    <x:col min="5" max="5" width="62" hidden="0" customWidth="1"/>
  </x:cols>
  <x:sheetData>
    <x:row r="1" ht="38" customHeight="1">
      <x:c r="A1" s="4" t="str">
        <x:v>Segment → bolečina</x:v>
      </x:c>
      <x:c r="B1" s="4"/>
      <x:c r="C1" s="4"/>
      <x:c r="D1" s="4"/>
      <x:c r="E1" s="4"/>
    </x:row>
    <x:row r="2" ht="34" customHeight="1">
      <x:c r="A2" s="52" t="str">
        <x:v>Za vsak segment je izbrana omejena množica najverjetnejših bolečin in prvo vprašanje za dokaz. To služi personalizaciji lead magneta in discovery pogovora.</x:v>
      </x:c>
      <x:c r="B2" s="52"/>
      <x:c r="C2" s="52"/>
      <x:c r="D2" s="52"/>
      <x:c r="E2" s="52"/>
    </x:row>
    <x:row r="4" ht="28" customHeight="1">
      <x:c r="A4" s="59" t="str">
        <x:v>Segment</x:v>
      </x:c>
      <x:c r="B4" s="60" t="str">
        <x:v>Bolečina ID</x:v>
      </x:c>
      <x:c r="C4" s="60" t="str">
        <x:v>Bolečina</x:v>
      </x:c>
      <x:c r="D4" s="60" t="str">
        <x:v>Verjetnost</x:v>
      </x:c>
      <x:c r="E4" s="61" t="str">
        <x:v>Prvo vprašanje</x:v>
      </x:c>
    </x:row>
    <x:row r="5" ht="24" customHeight="1">
      <x:c r="A5" s="81" t="str">
        <x:v>S1</x:v>
      </x:c>
      <x:c r="B5" s="82" t="str">
        <x:v>B05</x:v>
      </x:c>
      <x:c r="C5" s="82" t="str">
        <x:v>Ročen prevzem</x:v>
      </x:c>
      <x:c r="D5" s="82" t="str">
        <x:v>visoko</x:v>
      </x:c>
      <x:c r="E5" s="83" t="str">
        <x:v>Kako hitro je artikel po prevzemu dejansko na prodajni polici?</x:v>
      </x:c>
    </x:row>
    <x:row r="6" ht="24" customHeight="1">
      <x:c r="A6" s="84" t="str">
        <x:v>S1</x:v>
      </x:c>
      <x:c r="B6" s="85" t="str">
        <x:v>B13</x:v>
      </x:c>
      <x:c r="C6" s="85" t="str">
        <x:v>Dolgi zaključki</x:v>
      </x:c>
      <x:c r="D6" s="85" t="str">
        <x:v>visoko</x:v>
      </x:c>
      <x:c r="E6" s="86" t="str">
        <x:v>Koliko minut na dan porabite za zaključek ene blagajne?</x:v>
      </x:c>
    </x:row>
    <x:row r="7" ht="24" customHeight="1">
      <x:c r="A7" s="84" t="str">
        <x:v>S1</x:v>
      </x:c>
      <x:c r="B7" s="85" t="str">
        <x:v>B25</x:v>
      </x:c>
      <x:c r="C7" s="85" t="str">
        <x:v>Excel usklajevanje</x:v>
      </x:c>
      <x:c r="D7" s="85" t="str">
        <x:v>srednje</x:v>
      </x:c>
      <x:c r="E7" s="86" t="str">
        <x:v>Katera številka o zalogi je trenutno pravilna?</x:v>
      </x:c>
    </x:row>
    <x:row r="8" ht="24" customHeight="1">
      <x:c r="A8" s="84" t="str">
        <x:v>S1</x:v>
      </x:c>
      <x:c r="B8" s="85" t="str">
        <x:v>B09</x:v>
      </x:c>
      <x:c r="C8" s="85" t="str">
        <x:v>Prazna polica</x:v>
      </x:c>
      <x:c r="D8" s="85" t="str">
        <x:v>srednje</x:v>
      </x:c>
      <x:c r="E8" s="86" t="str">
        <x:v>Ali je artikel brez zaloge tudi v skladišču?</x:v>
      </x:c>
    </x:row>
    <x:row r="9" ht="24" customHeight="1">
      <x:c r="A9" s="84" t="str">
        <x:v>S2</x:v>
      </x:c>
      <x:c r="B9" s="85" t="str">
        <x:v>B07</x:v>
      </x:c>
      <x:c r="C9" s="85" t="str">
        <x:v>Prenos brez sledljivosti</x:v>
      </x:c>
      <x:c r="D9" s="85" t="str">
        <x:v>visoko</x:v>
      </x:c>
      <x:c r="E9" s="86" t="str">
        <x:v>Kje je trenutno zadnji kos artikla?</x:v>
      </x:c>
    </x:row>
    <x:row r="10" ht="24" customHeight="1">
      <x:c r="A10" s="84" t="str">
        <x:v>S2</x:v>
      </x:c>
      <x:c r="B10" s="85" t="str">
        <x:v>B02</x:v>
      </x:c>
      <x:c r="C10" s="85" t="str">
        <x:v>Cene po lokacijah</x:v>
      </x:c>
      <x:c r="D10" s="85" t="str">
        <x:v>visoko</x:v>
      </x:c>
      <x:c r="E10" s="86" t="str">
        <x:v>Ali se ista cena pokaže na vseh lokacijah?</x:v>
      </x:c>
    </x:row>
    <x:row r="11" ht="24" customHeight="1">
      <x:c r="A11" s="84" t="str">
        <x:v>S2</x:v>
      </x:c>
      <x:c r="B11" s="85" t="str">
        <x:v>B16</x:v>
      </x:c>
      <x:c r="C11" s="85" t="str">
        <x:v>Inventura</x:v>
      </x:c>
      <x:c r="D11" s="85" t="str">
        <x:v>visoko</x:v>
      </x:c>
      <x:c r="E11" s="86" t="str">
        <x:v>Koliko ur in zaprtja zahteva inventura?</x:v>
      </x:c>
    </x:row>
    <x:row r="12" ht="24" customHeight="1">
      <x:c r="A12" s="84" t="str">
        <x:v>S2</x:v>
      </x:c>
      <x:c r="B12" s="85" t="str">
        <x:v>B09</x:v>
      </x:c>
      <x:c r="C12" s="85" t="str">
        <x:v>Prazne police</x:v>
      </x:c>
      <x:c r="D12" s="85" t="str">
        <x:v>visoko</x:v>
      </x:c>
      <x:c r="E12" s="86" t="str">
        <x:v>Ali zaloga na drugi lokaciji prepreči prodajo?</x:v>
      </x:c>
    </x:row>
    <x:row r="13" ht="24" customHeight="1">
      <x:c r="A13" s="84" t="str">
        <x:v>S3</x:v>
      </x:c>
      <x:c r="B13" s="85" t="str">
        <x:v>B01</x:v>
      </x:c>
      <x:c r="C13" s="85" t="str">
        <x:v>Master data</x:v>
      </x:c>
      <x:c r="D13" s="85" t="str">
        <x:v>visoko</x:v>
      </x:c>
      <x:c r="E13" s="86" t="str">
        <x:v>Kdo je lastnik šifranta in cenika?</x:v>
      </x:c>
    </x:row>
    <x:row r="14" ht="24" customHeight="1">
      <x:c r="A14" s="84" t="str">
        <x:v>S3</x:v>
      </x:c>
      <x:c r="B14" s="85" t="str">
        <x:v>B26</x:v>
      </x:c>
      <x:c r="C14" s="85" t="str">
        <x:v>Pozna maržna odstopanja</x:v>
      </x:c>
      <x:c r="D14" s="85" t="str">
        <x:v>visoko</x:v>
      </x:c>
      <x:c r="E14" s="86" t="str">
        <x:v>Kdaj izvedete, da je marža odstopila?</x:v>
      </x:c>
    </x:row>
    <x:row r="15" ht="24" customHeight="1">
      <x:c r="A15" s="84" t="str">
        <x:v>S3</x:v>
      </x:c>
      <x:c r="B15" s="85" t="str">
        <x:v>B14</x:v>
      </x:c>
      <x:c r="C15" s="85" t="str">
        <x:v>Blagajniške razlike</x:v>
      </x:c>
      <x:c r="D15" s="85" t="str">
        <x:v>srednje</x:v>
      </x:c>
      <x:c r="E15" s="86" t="str">
        <x:v>Ali poznate vzrok razlik po lokaciji/blagajniku?</x:v>
      </x:c>
    </x:row>
    <x:row r="16" ht="24" customHeight="1">
      <x:c r="A16" s="84" t="str">
        <x:v>S3</x:v>
      </x:c>
      <x:c r="B16" s="85" t="str">
        <x:v>B06</x:v>
      </x:c>
      <x:c r="C16" s="85" t="str">
        <x:v>Razlike dokumentov</x:v>
      </x:c>
      <x:c r="D16" s="85" t="str">
        <x:v>srednje</x:v>
      </x:c>
      <x:c r="E16" s="86" t="str">
        <x:v>Kako se rešujejo razlike med naročilom in računom?</x:v>
      </x:c>
    </x:row>
    <x:row r="17" ht="24" customHeight="1">
      <x:c r="A17" s="84" t="str">
        <x:v>S4</x:v>
      </x:c>
      <x:c r="B17" s="85" t="str">
        <x:v>B18</x:v>
      </x:c>
      <x:c r="C17" s="85" t="str">
        <x:v>Spletne odpovedi</x:v>
      </x:c>
      <x:c r="D17" s="85" t="str">
        <x:v>visoko</x:v>
      </x:c>
      <x:c r="E17" s="86" t="str">
        <x:v>Kaj se zgodi pri zadnjem kosu prodanem v poslovalnici?</x:v>
      </x:c>
    </x:row>
    <x:row r="18" ht="24" customHeight="1">
      <x:c r="A18" s="84" t="str">
        <x:v>S4</x:v>
      </x:c>
      <x:c r="B18" s="85" t="str">
        <x:v>B19</x:v>
      </x:c>
      <x:c r="C18" s="85" t="str">
        <x:v>Ročni vnos naročil</x:v>
      </x:c>
      <x:c r="D18" s="85" t="str">
        <x:v>visoko</x:v>
      </x:c>
      <x:c r="E18" s="86" t="str">
        <x:v>Kolikšen delež naročil se prepisuje?</x:v>
      </x:c>
    </x:row>
    <x:row r="19" ht="24" customHeight="1">
      <x:c r="A19" s="84" t="str">
        <x:v>S4</x:v>
      </x:c>
      <x:c r="B19" s="85" t="str">
        <x:v>B21</x:v>
      </x:c>
      <x:c r="C19" s="85" t="str">
        <x:v>Strošek vračil</x:v>
      </x:c>
      <x:c r="D19" s="85" t="str">
        <x:v>visoko</x:v>
      </x:c>
      <x:c r="E19" s="86" t="str">
        <x:v>Kakšen je strošek vračila brez kupnine?</x:v>
      </x:c>
    </x:row>
    <x:row r="20" ht="24" customHeight="1">
      <x:c r="A20" s="84" t="str">
        <x:v>S4</x:v>
      </x:c>
      <x:c r="B20" s="85" t="str">
        <x:v>B11</x:v>
      </x:c>
      <x:c r="C20" s="85" t="str">
        <x:v>Cenik med kanali</x:v>
      </x:c>
      <x:c r="D20" s="85" t="str">
        <x:v>visoko</x:v>
      </x:c>
      <x:c r="E20" s="86" t="str">
        <x:v>Ali je cena na spletu in POS enaka po pravilu?</x:v>
      </x:c>
    </x:row>
    <x:row r="21" ht="24" customHeight="1">
      <x:c r="A21" s="84" t="str">
        <x:v>S5</x:v>
      </x:c>
      <x:c r="B21" s="85" t="str">
        <x:v>B03</x:v>
      </x:c>
      <x:c r="C21" s="85" t="str">
        <x:v>Naročanje po občutku</x:v>
      </x:c>
      <x:c r="D21" s="85" t="str">
        <x:v>visoko</x:v>
      </x:c>
      <x:c r="E21" s="86" t="str">
        <x:v>Kako nastane predlog naročila?</x:v>
      </x:c>
    </x:row>
    <x:row r="22" ht="24" customHeight="1">
      <x:c r="A22" s="84" t="str">
        <x:v>S5</x:v>
      </x:c>
      <x:c r="B22" s="85" t="str">
        <x:v>B04</x:v>
      </x:c>
      <x:c r="C22" s="85" t="str">
        <x:v>Rabati</x:v>
      </x:c>
      <x:c r="D22" s="85" t="str">
        <x:v>visoko</x:v>
      </x:c>
      <x:c r="E22" s="86" t="str">
        <x:v>Koliko dobaviteljskih rabatov ostane neizterjanih?</x:v>
      </x:c>
    </x:row>
    <x:row r="23" ht="24" customHeight="1">
      <x:c r="A23" s="84" t="str">
        <x:v>S5</x:v>
      </x:c>
      <x:c r="B23" s="85" t="str">
        <x:v>B27</x:v>
      </x:c>
      <x:c r="C23" s="85" t="str">
        <x:v>Ekspresne dobave</x:v>
      </x:c>
      <x:c r="D23" s="85" t="str">
        <x:v>srednje</x:v>
      </x:c>
      <x:c r="E23" s="86" t="str">
        <x:v>Kolikokrat plačate ekspresno dobavo?</x:v>
      </x:c>
    </x:row>
    <x:row r="24" ht="24" customHeight="1">
      <x:c r="A24" s="84" t="str">
        <x:v>S5</x:v>
      </x:c>
      <x:c r="B24" s="85" t="str">
        <x:v>B28</x:v>
      </x:c>
      <x:c r="C24" s="85" t="str">
        <x:v>Promocijsko sofinanciranje</x:v>
      </x:c>
      <x:c r="D24" s="85" t="str">
        <x:v>srednje</x:v>
      </x:c>
      <x:c r="E24" s="86" t="str">
        <x:v>Ali se vsak dobaviteljski prispevek pobere?</x:v>
      </x:c>
    </x:row>
    <x:row r="25" ht="24" customHeight="1">
      <x:c r="A25" s="84" t="str">
        <x:v>S6</x:v>
      </x:c>
      <x:c r="B25" s="85" t="str">
        <x:v>B10</x:v>
      </x:c>
      <x:c r="C25" s="85" t="str">
        <x:v>Stara zaloga/odpisi</x:v>
      </x:c>
      <x:c r="D25" s="85" t="str">
        <x:v>visoko</x:v>
      </x:c>
      <x:c r="E25" s="86" t="str">
        <x:v>Koliko zaloge je brez prodaje po 90/180 dneh?</x:v>
      </x:c>
    </x:row>
    <x:row r="26" ht="24" customHeight="1">
      <x:c r="A26" s="84" t="str">
        <x:v>S6</x:v>
      </x:c>
      <x:c r="B26" s="85" t="str">
        <x:v>B08</x:v>
      </x:c>
      <x:c r="C26" s="85" t="str">
        <x:v>Sledljivost lota</x:v>
      </x:c>
      <x:c r="D26" s="85" t="str">
        <x:v>visoko</x:v>
      </x:c>
      <x:c r="E26" s="86" t="str">
        <x:v>Ali najdete lot pri odpoklicu v minutah?</x:v>
      </x:c>
    </x:row>
    <x:row r="27" ht="24" customHeight="1">
      <x:c r="A27" s="84" t="str">
        <x:v>S6</x:v>
      </x:c>
      <x:c r="B27" s="85" t="str">
        <x:v>B12</x:v>
      </x:c>
      <x:c r="C27" s="85" t="str">
        <x:v>Markdown pred rokom</x:v>
      </x:c>
      <x:c r="D27" s="85" t="str">
        <x:v>visoko</x:v>
      </x:c>
      <x:c r="E27" s="86" t="str">
        <x:v>Ali cenik podpira kontrolirano odprodajo?</x:v>
      </x:c>
    </x:row>
    <x:row r="28" ht="24" customHeight="1">
      <x:c r="A28" s="84" t="str">
        <x:v>S6</x:v>
      </x:c>
      <x:c r="B28" s="85" t="str">
        <x:v>B16</x:v>
      </x:c>
      <x:c r="C28" s="85" t="str">
        <x:v>Inventura</x:v>
      </x:c>
      <x:c r="D28" s="85" t="str">
        <x:v>srednje</x:v>
      </x:c>
      <x:c r="E28" s="86" t="str">
        <x:v>Ali skenirate oziroma ročno vnašate?</x:v>
      </x:c>
    </x:row>
    <x:row r="29" ht="24" customHeight="1">
      <x:c r="A29" s="84" t="str">
        <x:v>S7</x:v>
      </x:c>
      <x:c r="B29" s="85" t="str">
        <x:v>B22</x:v>
      </x:c>
      <x:c r="C29" s="85" t="str">
        <x:v>Garancija brez dokaza</x:v>
      </x:c>
      <x:c r="D29" s="85" t="str">
        <x:v>visoko</x:v>
      </x:c>
      <x:c r="E29" s="86" t="str">
        <x:v>Ali imate račun in serijo v istem toku?</x:v>
      </x:c>
    </x:row>
    <x:row r="30" ht="24" customHeight="1">
      <x:c r="A30" s="84" t="str">
        <x:v>S7</x:v>
      </x:c>
      <x:c r="B30" s="85" t="str">
        <x:v>B17</x:v>
      </x:c>
      <x:c r="C30" s="85" t="str">
        <x:v>Manko</x:v>
      </x:c>
      <x:c r="D30" s="85" t="str">
        <x:v>srednje</x:v>
      </x:c>
      <x:c r="E30" s="86" t="str">
        <x:v>Kakšen delež manjka je kraja in kakšen proces?</x:v>
      </x:c>
    </x:row>
    <x:row r="31" ht="24" customHeight="1">
      <x:c r="A31" s="84" t="str">
        <x:v>S7</x:v>
      </x:c>
      <x:c r="B31" s="85" t="str">
        <x:v>B08</x:v>
      </x:c>
      <x:c r="C31" s="85" t="str">
        <x:v>Serijska sled</x:v>
      </x:c>
      <x:c r="D31" s="85" t="str">
        <x:v>visoko</x:v>
      </x:c>
      <x:c r="E31" s="86" t="str">
        <x:v>Ali vidite serijo od prevzema do reklamacije?</x:v>
      </x:c>
    </x:row>
    <x:row r="32" ht="24" customHeight="1">
      <x:c r="A32" s="84" t="str">
        <x:v>S7</x:v>
      </x:c>
      <x:c r="B32" s="85" t="str">
        <x:v>B29</x:v>
      </x:c>
      <x:c r="C32" s="85" t="str">
        <x:v>Neprodajljivo vračilo</x:v>
      </x:c>
      <x:c r="D32" s="85" t="str">
        <x:v>srednje</x:v>
      </x:c>
      <x:c r="E32" s="86" t="str">
        <x:v>Koliko vrnjenega blaga se proda po polni ceni?</x:v>
      </x:c>
    </x:row>
    <x:row r="33" ht="24" customHeight="1">
      <x:c r="A33" s="84" t="str">
        <x:v>S8</x:v>
      </x:c>
      <x:c r="B33" s="85" t="str">
        <x:v>B01</x:v>
      </x:c>
      <x:c r="C33" s="85" t="str">
        <x:v>Lastništvo zaloge</x:v>
      </x:c>
      <x:c r="D33" s="85" t="str">
        <x:v>visoko</x:v>
      </x:c>
      <x:c r="E33" s="86" t="str">
        <x:v>Ali je lastništvo zaloge ločeno v evidenci?</x:v>
      </x:c>
    </x:row>
    <x:row r="34" ht="24" customHeight="1">
      <x:c r="A34" s="84" t="str">
        <x:v>S8</x:v>
      </x:c>
      <x:c r="B34" s="85" t="str">
        <x:v>B04</x:v>
      </x:c>
      <x:c r="C34" s="85" t="str">
        <x:v>Posebni obračuni</x:v>
      </x:c>
      <x:c r="D34" s="85" t="str">
        <x:v>visoko</x:v>
      </x:c>
      <x:c r="E34" s="86" t="str">
        <x:v>Kako se obračunajo rabati in provizije?</x:v>
      </x:c>
    </x:row>
    <x:row r="35" ht="24" customHeight="1">
      <x:c r="A35" s="84" t="str">
        <x:v>S8</x:v>
      </x:c>
      <x:c r="B35" s="85" t="str">
        <x:v>B02</x:v>
      </x:c>
      <x:c r="C35" s="85" t="str">
        <x:v>Ceniki</x:v>
      </x:c>
      <x:c r="D35" s="85" t="str">
        <x:v>srednje</x:v>
      </x:c>
      <x:c r="E35" s="86" t="str">
        <x:v>Kdo določa ceno po kanalu/partnerju?</x:v>
      </x:c>
    </x:row>
    <x:row r="36" ht="24" customHeight="1">
      <x:c r="A36" s="87" t="str">
        <x:v>S8</x:v>
      </x:c>
      <x:c r="B36" s="88" t="str">
        <x:v>B25</x:v>
      </x:c>
      <x:c r="C36" s="88" t="str">
        <x:v>Poročanje</x:v>
      </x:c>
      <x:c r="D36" s="88" t="str">
        <x:v>srednje</x:v>
      </x:c>
      <x:c r="E36" s="89" t="str">
        <x:v>Ali poročilo loči lastno in komisijsko prodajo?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fd0427b641145a3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46" hidden="0" customWidth="1"/>
    <x:col min="4" max="4" width="48" hidden="0" customWidth="1"/>
    <x:col min="5" max="5" width="55" hidden="0" customWidth="1"/>
  </x:cols>
  <x:sheetData>
    <x:row r="1" ht="38" customHeight="1">
      <x:c r="A1" s="4" t="str">
        <x:v>Persona → bolečina → dokaz</x:v>
      </x:c>
      <x:c r="B1" s="4"/>
      <x:c r="C1" s="4"/>
      <x:c r="D1" s="4"/>
      <x:c r="E1" s="4"/>
    </x:row>
    <x:row r="2" ht="34" customHeight="1">
      <x:c r="A2" s="52" t="str">
        <x:v>ROI se ne zaključuje samo pri CEO-ju. Za verodostojen poslovni primer se preveri procesni lastnik in finance, za izvedljivost pa IT oziroma partner.</x:v>
      </x:c>
      <x:c r="B2" s="52"/>
      <x:c r="C2" s="52"/>
      <x:c r="D2" s="52"/>
      <x:c r="E2" s="52"/>
    </x:row>
    <x:row r="4" ht="28" customHeight="1">
      <x:c r="A4" s="59" t="str">
        <x:v>Persona</x:v>
      </x:c>
      <x:c r="B4" s="60" t="str">
        <x:v>Job to be done</x:v>
      </x:c>
      <x:c r="C4" s="60" t="str">
        <x:v>Frustracija</x:v>
      </x:c>
      <x:c r="D4" s="60" t="str">
        <x:v>Dokaz, ki ga potrebuje</x:v>
      </x:c>
      <x:c r="E4" s="61" t="str">
        <x:v>Prvo vprašanje</x:v>
      </x:c>
    </x:row>
    <x:row r="5" ht="24" customHeight="1">
      <x:c r="A5" s="81" t="str">
        <x:v>Lastnik/CEO</x:v>
      </x:c>
      <x:c r="B5" s="82" t="str">
        <x:v>rast brez kaosa in presenečenj</x:v>
      </x:c>
      <x:c r="C5" s="82" t="str">
        <x:v>promet brez jasnega dobička</x:v>
      </x:c>
      <x:c r="D5" s="82" t="str">
        <x:v>ROI, payback, tveganje uvedbe</x:v>
      </x:c>
      <x:c r="E5" s="83" t="str">
        <x:v>Kje se izgublja marža, denar in čas?</x:v>
      </x:c>
    </x:row>
    <x:row r="6" ht="24" customHeight="1">
      <x:c r="A6" s="84" t="str">
        <x:v>Lastnik/CEO</x:v>
      </x:c>
      <x:c r="B6" s="85" t="str">
        <x:v>odločitev o investiciji</x:v>
      </x:c>
      <x:c r="C6" s="85" t="str">
        <x:v>nepozna TCO</x:v>
      </x:c>
      <x:c r="D6" s="85" t="str">
        <x:v>scenariji in NPV</x:v>
      </x:c>
      <x:c r="E6" s="86" t="str">
        <x:v>Kaj je vključeno v prvo leto in kaj ne?</x:v>
      </x:c>
    </x:row>
    <x:row r="7" ht="24" customHeight="1">
      <x:c r="A7" s="84" t="str">
        <x:v>Direktor maloprodaje</x:v>
      </x:c>
      <x:c r="B7" s="85" t="str">
        <x:v>enotna izvedba</x:v>
      </x:c>
      <x:c r="C7" s="85" t="str">
        <x:v>lokalne izjeme, cene, poročila</x:v>
      </x:c>
      <x:c r="D7" s="85" t="str">
        <x:v>stanje po lokaciji/artiklu</x:v>
      </x:c>
      <x:c r="E7" s="86" t="str">
        <x:v>Kako poteka prenos med lokacijami?</x:v>
      </x:c>
    </x:row>
    <x:row r="8" ht="24" customHeight="1">
      <x:c r="A8" s="84" t="str">
        <x:v>Direktor maloprodaje</x:v>
      </x:c>
      <x:c r="B8" s="85" t="str">
        <x:v>varen rollout</x:v>
      </x:c>
      <x:c r="C8" s="85" t="str">
        <x:v>motnja prodaje</x:v>
      </x:c>
      <x:c r="D8" s="85" t="str">
        <x:v>pilot, cutover, fallback</x:v>
      </x:c>
      <x:c r="E8" s="86" t="str">
        <x:v>Kateri izjemni tokovi so kritični?</x:v>
      </x:c>
    </x:row>
    <x:row r="9" ht="24" customHeight="1">
      <x:c r="A9" s="84" t="str">
        <x:v>Vodja nabave</x:v>
      </x:c>
      <x:c r="B9" s="85" t="str">
        <x:v>prava količina ob pravem času</x:v>
      </x:c>
      <x:c r="C9" s="85" t="str">
        <x:v>ročni predlogi in roki</x:v>
      </x:c>
      <x:c r="D9" s="85" t="str">
        <x:v>status naročil, cena, prodaja</x:v>
      </x:c>
      <x:c r="E9" s="86" t="str">
        <x:v>Kako nastane predlog naročila?</x:v>
      </x:c>
    </x:row>
    <x:row r="10" ht="24" customHeight="1">
      <x:c r="A10" s="84" t="str">
        <x:v>Vodja nabave</x:v>
      </x:c>
      <x:c r="B10" s="85" t="str">
        <x:v>izterjani pogoji</x:v>
      </x:c>
      <x:c r="C10" s="85" t="str">
        <x:v>nevidni rabati</x:v>
      </x:c>
      <x:c r="D10" s="85" t="str">
        <x:v>dokaz za rabat/reklamacijo</x:v>
      </x:c>
      <x:c r="E10" s="86" t="str">
        <x:v>Koliko EUR ostane neizterjanih?</x:v>
      </x:c>
    </x:row>
    <x:row r="11" ht="24" customHeight="1">
      <x:c r="A11" s="84" t="str">
        <x:v>Vodja skladišča</x:v>
      </x:c>
      <x:c r="B11" s="85" t="str">
        <x:v>točna in dostopna zaloga</x:v>
      </x:c>
      <x:c r="C11" s="85" t="str">
        <x:v>iskanje, prenosi, inventure</x:v>
      </x:c>
      <x:c r="D11" s="85" t="str">
        <x:v>skeniranje, razlike po vzroku</x:v>
      </x:c>
      <x:c r="E11" s="86" t="str">
        <x:v>Koliko časa traja najti artikel/serijo?</x:v>
      </x:c>
    </x:row>
    <x:row r="12" ht="24" customHeight="1">
      <x:c r="A12" s="84" t="str">
        <x:v>Vodja skladišča</x:v>
      </x:c>
      <x:c r="B12" s="85" t="str">
        <x:v>manj napak</x:v>
      </x:c>
      <x:c r="C12" s="85" t="str">
        <x:v>ročno prepisovanje</x:v>
      </x:c>
      <x:c r="D12" s="85" t="str">
        <x:v>dokumentiran prevzem</x:v>
      </x:c>
      <x:c r="E12" s="86" t="str">
        <x:v>Koliko postavk se vnaša ročno?</x:v>
      </x:c>
    </x:row>
    <x:row r="13" ht="24" customHeight="1">
      <x:c r="A13" s="84" t="str">
        <x:v>Vodja spletne prodaje</x:v>
      </x:c>
      <x:c r="B13" s="85" t="str">
        <x:v>obljubljena zaloga</x:v>
      </x:c>
      <x:c r="C13" s="85" t="str">
        <x:v>oversell in ročni prenos</x:v>
      </x:c>
      <x:c r="D13" s="85" t="str">
        <x:v>integracijski diagram in status naročila</x:v>
      </x:c>
      <x:c r="E13" s="86" t="str">
        <x:v>Kaj se zgodi pri zadnjem kosu?</x:v>
      </x:c>
    </x:row>
    <x:row r="14" ht="24" customHeight="1">
      <x:c r="A14" s="84" t="str">
        <x:v>Vodja spletne prodaje</x:v>
      </x:c>
      <x:c r="B14" s="85" t="str">
        <x:v>donosna vračila</x:v>
      </x:c>
      <x:c r="C14" s="85" t="str">
        <x:v>vračila v e-pošti</x:v>
      </x:c>
      <x:c r="D14" s="85" t="str">
        <x:v>strošek po razlogu vračila</x:v>
      </x:c>
      <x:c r="E14" s="86" t="str">
        <x:v>Kakšen je delež ponovno prodajnih vračil?</x:v>
      </x:c>
    </x:row>
    <x:row r="15" ht="24" customHeight="1">
      <x:c r="A15" s="84" t="str">
        <x:v>Finance/računovodstvo</x:v>
      </x:c>
      <x:c r="B15" s="85" t="str">
        <x:v>pravilen mesec</x:v>
      </x:c>
      <x:c r="C15" s="85" t="str">
        <x:v>POS/knjige/dokumenti niso usklajeni</x:v>
      </x:c>
      <x:c r="D15" s="85" t="str">
        <x:v>povezava dokument–plačilo–konto</x:v>
      </x:c>
      <x:c r="E15" s="86" t="str">
        <x:v>Kje se še prepisujejo dokumenti?</x:v>
      </x:c>
    </x:row>
    <x:row r="16" ht="24" customHeight="1">
      <x:c r="A16" s="84" t="str">
        <x:v>Finance/računovodstvo</x:v>
      </x:c>
      <x:c r="B16" s="85" t="str">
        <x:v>pripravljenost B2B e-računov</x:v>
      </x:c>
      <x:c r="C16" s="85" t="str">
        <x:v>PDF/papir in ročni vnosi</x:v>
      </x:c>
      <x:c r="D16" s="85" t="str">
        <x:v>delež strukturiranih dokumentov</x:v>
      </x:c>
      <x:c r="E16" s="86" t="str">
        <x:v>Kakšen delež B2B dokumentov je eSlog?</x:v>
      </x:c>
    </x:row>
    <x:row r="17" ht="24" customHeight="1">
      <x:c r="A17" s="84" t="str">
        <x:v>IT/partner</x:v>
      </x:c>
      <x:c r="B17" s="85" t="str">
        <x:v>stabilen ekosistem</x:v>
      </x:c>
      <x:c r="C17" s="85" t="str">
        <x:v>nejasen API in custom scope</x:v>
      </x:c>
      <x:c r="D17" s="85" t="str">
        <x:v>scope, lastnik, testni plan, SLA</x:v>
      </x:c>
      <x:c r="E17" s="86" t="str">
        <x:v>Kdo je sistem resnice za zalogo?</x:v>
      </x:c>
    </x:row>
    <x:row r="18" ht="24" customHeight="1">
      <x:c r="A18" s="84" t="str">
        <x:v>IT/partner</x:v>
      </x:c>
      <x:c r="B18" s="85" t="str">
        <x:v>obvladane naprave</x:v>
      </x:c>
      <x:c r="C18" s="85" t="str">
        <x:v>nejasne periferije</x:v>
      </x:c>
      <x:c r="D18" s="85" t="str">
        <x:v>kompatibilnost in recovery</x:v>
      </x:c>
      <x:c r="E18" s="86" t="str">
        <x:v>Kateri terminali/skenerji/tehtnice obstajajo?</x:v>
      </x:c>
    </x:row>
    <x:row r="19" ht="24" customHeight="1">
      <x:c r="A19" s="84" t="str">
        <x:v>Vodja poslovalnice</x:v>
      </x:c>
      <x:c r="B19" s="85" t="str">
        <x:v>hitra prodaja</x:v>
      </x:c>
      <x:c r="C19" s="85" t="str">
        <x:v>počasna blagajna in napačna cena</x:v>
      </x:c>
      <x:c r="D19" s="85" t="str">
        <x:v>enostaven ekran, pravice, podpora</x:v>
      </x:c>
      <x:c r="E19" s="86" t="str">
        <x:v>Koliko minut traja zaključek?</x:v>
      </x:c>
    </x:row>
    <x:row r="20" ht="24" customHeight="1">
      <x:c r="A20" s="87" t="str">
        <x:v>Vodja poslovalnice</x:v>
      </x:c>
      <x:c r="B20" s="88" t="str">
        <x:v>zaupanje v zalogo</x:v>
      </x:c>
      <x:c r="C20" s="88" t="str">
        <x:v>polica je prazna, sistem kaže zalogo</x:v>
      </x:c>
      <x:c r="D20" s="88" t="str">
        <x:v>zaloga po lokaciji in proces dopolnjevanja</x:v>
      </x:c>
      <x:c r="E20" s="89" t="str">
        <x:v>Je artikel tudi v skladišču?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22443590baa449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4" hidden="0" customWidth="1"/>
    <x:col min="5" max="5" width="28" hidden="0" customWidth="1"/>
  </x:cols>
  <x:sheetData>
    <x:row r="1" ht="38" customHeight="1">
      <x:c r="A1" s="4" t="str">
        <x:v>Proces → KPI</x:v>
      </x:c>
      <x:c r="B1" s="4"/>
      <x:c r="C1" s="4"/>
      <x:c r="D1" s="4"/>
      <x:c r="E1" s="4"/>
    </x:row>
    <x:row r="2" ht="34" customHeight="1">
      <x:c r="A2" s="52" t="str">
        <x:v>Zemljevid določa, kateri KPI je last katerega procesa, kako pogosto ga meriti in kdo je tipični lastnik. Pomaga preprečiti dashboard brez operativnega lastnika.</x:v>
      </x:c>
      <x:c r="B2" s="52"/>
      <x:c r="C2" s="52"/>
      <x:c r="D2" s="52"/>
      <x:c r="E2" s="52"/>
    </x:row>
    <x:row r="4" ht="28" customHeight="1">
      <x:c r="A4" s="59" t="str">
        <x:v>Proces</x:v>
      </x:c>
      <x:c r="B4" s="60" t="str">
        <x:v>KPI</x:v>
      </x:c>
      <x:c r="C4" s="60" t="str">
        <x:v>Metrika</x:v>
      </x:c>
      <x:c r="D4" s="60" t="str">
        <x:v>Frekvenca</x:v>
      </x:c>
      <x:c r="E4" s="61" t="str">
        <x:v>Lastnik</x:v>
      </x:c>
    </x:row>
    <x:row r="5" ht="24" customHeight="1">
      <x:c r="A5" s="81" t="str">
        <x:v>P01</x:v>
      </x:c>
      <x:c r="B5" s="82" t="str">
        <x:v>K17</x:v>
      </x:c>
      <x:c r="C5" s="82" t="str">
        <x:v>čas do aktivacije SKU</x:v>
      </x:c>
      <x:c r="D5" s="82" t="str">
        <x:v>operativni</x:v>
      </x:c>
      <x:c r="E5" s="83" t="str">
        <x:v>master data</x:v>
      </x:c>
    </x:row>
    <x:row r="6" ht="24" customHeight="1">
      <x:c r="A6" s="84" t="str">
        <x:v>P01</x:v>
      </x:c>
      <x:c r="B6" s="85" t="str">
        <x:v>K18</x:v>
      </x:c>
      <x:c r="C6" s="85" t="str">
        <x:v>cena-točnost</x:v>
      </x:c>
      <x:c r="D6" s="85" t="str">
        <x:v>kakovost</x:v>
      </x:c>
      <x:c r="E6" s="86" t="str">
        <x:v>POS/splet</x:v>
      </x:c>
    </x:row>
    <x:row r="7" ht="24" customHeight="1">
      <x:c r="A7" s="84" t="str">
        <x:v>P02</x:v>
      </x:c>
      <x:c r="B7" s="85" t="str">
        <x:v>K08</x:v>
      </x:c>
      <x:c r="C7" s="85" t="str">
        <x:v>OTIF dobavitelja</x:v>
      </x:c>
      <x:c r="D7" s="85" t="str">
        <x:v>tedensko/mesečno</x:v>
      </x:c>
      <x:c r="E7" s="86" t="str">
        <x:v>nabava</x:v>
      </x:c>
    </x:row>
    <x:row r="8" ht="24" customHeight="1">
      <x:c r="A8" s="84" t="str">
        <x:v>P02</x:v>
      </x:c>
      <x:c r="B8" s="85" t="str">
        <x:v>K16</x:v>
      </x:c>
      <x:c r="C8" s="85" t="str">
        <x:v>ročni delež naročil</x:v>
      </x:c>
      <x:c r="D8" s="85" t="str">
        <x:v>mesečno</x:v>
      </x:c>
      <x:c r="E8" s="86" t="str">
        <x:v>nabava</x:v>
      </x:c>
    </x:row>
    <x:row r="9" ht="24" customHeight="1">
      <x:c r="A9" s="84" t="str">
        <x:v>P03</x:v>
      </x:c>
      <x:c r="B9" s="85" t="str">
        <x:v>K09</x:v>
      </x:c>
      <x:c r="C9" s="85" t="str">
        <x:v>točnost zaloge</x:v>
      </x:c>
      <x:c r="D9" s="85" t="str">
        <x:v>inventura/ciklično</x:v>
      </x:c>
      <x:c r="E9" s="86" t="str">
        <x:v>skladišče</x:v>
      </x:c>
    </x:row>
    <x:row r="10" ht="24" customHeight="1">
      <x:c r="A10" s="84" t="str">
        <x:v>P03</x:v>
      </x:c>
      <x:c r="B10" s="85" t="str">
        <x:v>K14</x:v>
      </x:c>
      <x:c r="C10" s="85" t="str">
        <x:v>čas zaključka postopka</x:v>
      </x:c>
      <x:c r="D10" s="85" t="str">
        <x:v>dnevno</x:v>
      </x:c>
      <x:c r="E10" s="86" t="str">
        <x:v>skladišče</x:v>
      </x:c>
    </x:row>
    <x:row r="11" ht="24" customHeight="1">
      <x:c r="A11" s="84" t="str">
        <x:v>P04</x:v>
      </x:c>
      <x:c r="B11" s="85" t="str">
        <x:v>K09</x:v>
      </x:c>
      <x:c r="C11" s="85" t="str">
        <x:v>točnost zaloge</x:v>
      </x:c>
      <x:c r="D11" s="85" t="str">
        <x:v>ciklično</x:v>
      </x:c>
      <x:c r="E11" s="86" t="str">
        <x:v>skladišče</x:v>
      </x:c>
    </x:row>
    <x:row r="12" ht="24" customHeight="1">
      <x:c r="A12" s="84" t="str">
        <x:v>P04</x:v>
      </x:c>
      <x:c r="B12" s="85" t="str">
        <x:v>K20</x:v>
      </x:c>
      <x:c r="C12" s="85" t="str">
        <x:v>čas do odkritja odstopanja</x:v>
      </x:c>
      <x:c r="D12" s="85" t="str">
        <x:v>tedensko</x:v>
      </x:c>
      <x:c r="E12" s="86" t="str">
        <x:v>operacije</x:v>
      </x:c>
    </x:row>
    <x:row r="13" ht="24" customHeight="1">
      <x:c r="A13" s="84" t="str">
        <x:v>P05</x:v>
      </x:c>
      <x:c r="B13" s="85" t="str">
        <x:v>K06</x:v>
      </x:c>
      <x:c r="C13" s="85" t="str">
        <x:v>stockout rate</x:v>
      </x:c>
      <x:c r="D13" s="85" t="str">
        <x:v>tedensko</x:v>
      </x:c>
      <x:c r="E13" s="86" t="str">
        <x:v>retail/nabava</x:v>
      </x:c>
    </x:row>
    <x:row r="14" ht="24" customHeight="1">
      <x:c r="A14" s="84" t="str">
        <x:v>P05</x:v>
      </x:c>
      <x:c r="B14" s="85" t="str">
        <x:v>K07</x:v>
      </x:c>
      <x:c r="C14" s="85" t="str">
        <x:v>OSA</x:v>
      </x:c>
      <x:c r="D14" s="85" t="str">
        <x:v>store audit</x:v>
      </x:c>
      <x:c r="E14" s="86" t="str">
        <x:v>vodja poslovalnice</x:v>
      </x:c>
    </x:row>
    <x:row r="15" ht="24" customHeight="1">
      <x:c r="A15" s="84" t="str">
        <x:v>P05</x:v>
      </x:c>
      <x:c r="B15" s="85" t="str">
        <x:v>K03</x:v>
      </x:c>
      <x:c r="C15" s="85" t="str">
        <x:v>obrat zaloge</x:v>
      </x:c>
      <x:c r="D15" s="85" t="str">
        <x:v>mesečno</x:v>
      </x:c>
      <x:c r="E15" s="86" t="str">
        <x:v>finance/nabava</x:v>
      </x:c>
    </x:row>
    <x:row r="16" ht="24" customHeight="1">
      <x:c r="A16" s="84" t="str">
        <x:v>P06</x:v>
      </x:c>
      <x:c r="B16" s="85" t="str">
        <x:v>K11</x:v>
      </x:c>
      <x:c r="C16" s="85" t="str">
        <x:v>markdown rate</x:v>
      </x:c>
      <x:c r="D16" s="85" t="str">
        <x:v>tedensko/mesečno</x:v>
      </x:c>
      <x:c r="E16" s="86" t="str">
        <x:v>komercialni vodja</x:v>
      </x:c>
    </x:row>
    <x:row r="17" ht="24" customHeight="1">
      <x:c r="A17" s="84" t="str">
        <x:v>P06</x:v>
      </x:c>
      <x:c r="B17" s="85" t="str">
        <x:v>K01</x:v>
      </x:c>
      <x:c r="C17" s="85" t="str">
        <x:v>prispevna marža</x:v>
      </x:c>
      <x:c r="D17" s="85" t="str">
        <x:v>tedensko/mesečno</x:v>
      </x:c>
      <x:c r="E17" s="86" t="str">
        <x:v>finance/retail</x:v>
      </x:c>
    </x:row>
    <x:row r="18" ht="24" customHeight="1">
      <x:c r="A18" s="84" t="str">
        <x:v>P06</x:v>
      </x:c>
      <x:c r="B18" s="85" t="str">
        <x:v>K18</x:v>
      </x:c>
      <x:c r="C18" s="85" t="str">
        <x:v>cena-točnost</x:v>
      </x:c>
      <x:c r="D18" s="85" t="str">
        <x:v>vzorec</x:v>
      </x:c>
      <x:c r="E18" s="86" t="str">
        <x:v>retail</x:v>
      </x:c>
    </x:row>
    <x:row r="19" ht="24" customHeight="1">
      <x:c r="A19" s="84" t="str">
        <x:v>P07</x:v>
      </x:c>
      <x:c r="B19" s="85" t="str">
        <x:v>K14</x:v>
      </x:c>
      <x:c r="C19" s="85" t="str">
        <x:v>closing time</x:v>
      </x:c>
      <x:c r="D19" s="85" t="str">
        <x:v>dnevno</x:v>
      </x:c>
      <x:c r="E19" s="86" t="str">
        <x:v>poslovalnica</x:v>
      </x:c>
    </x:row>
    <x:row r="20" ht="24" customHeight="1">
      <x:c r="A20" s="84" t="str">
        <x:v>P07</x:v>
      </x:c>
      <x:c r="B20" s="85" t="str">
        <x:v>K20</x:v>
      </x:c>
      <x:c r="C20" s="85" t="str">
        <x:v>čas do odkritja razlike</x:v>
      </x:c>
      <x:c r="D20" s="85" t="str">
        <x:v>dnevno</x:v>
      </x:c>
      <x:c r="E20" s="86" t="str">
        <x:v>finance</x:v>
      </x:c>
    </x:row>
    <x:row r="21" ht="24" customHeight="1">
      <x:c r="A21" s="84" t="str">
        <x:v>P08</x:v>
      </x:c>
      <x:c r="B21" s="85" t="str">
        <x:v>K10</x:v>
      </x:c>
      <x:c r="C21" s="85" t="str">
        <x:v>shrink</x:v>
      </x:c>
      <x:c r="D21" s="85" t="str">
        <x:v>inventura</x:v>
      </x:c>
      <x:c r="E21" s="86" t="str">
        <x:v>finance/retail</x:v>
      </x:c>
    </x:row>
    <x:row r="22" ht="24" customHeight="1">
      <x:c r="A22" s="84" t="str">
        <x:v>P08</x:v>
      </x:c>
      <x:c r="B22" s="85" t="str">
        <x:v>K09</x:v>
      </x:c>
      <x:c r="C22" s="85" t="str">
        <x:v>točnost zaloge</x:v>
      </x:c>
      <x:c r="D22" s="85" t="str">
        <x:v>inventura</x:v>
      </x:c>
      <x:c r="E22" s="86" t="str">
        <x:v>skladišče</x:v>
      </x:c>
    </x:row>
    <x:row r="23" ht="24" customHeight="1">
      <x:c r="A23" s="84" t="str">
        <x:v>P09</x:v>
      </x:c>
      <x:c r="B23" s="85" t="str">
        <x:v>K13</x:v>
      </x:c>
      <x:c r="C23" s="85" t="str">
        <x:v>pick accuracy</x:v>
      </x:c>
      <x:c r="D23" s="85" t="str">
        <x:v>dnevno/tedensko</x:v>
      </x:c>
      <x:c r="E23" s="86" t="str">
        <x:v>e-commerce</x:v>
      </x:c>
    </x:row>
    <x:row r="24" ht="24" customHeight="1">
      <x:c r="A24" s="84" t="str">
        <x:v>P09</x:v>
      </x:c>
      <x:c r="B24" s="85" t="str">
        <x:v>K16</x:v>
      </x:c>
      <x:c r="C24" s="85" t="str">
        <x:v>ročni delež naročil</x:v>
      </x:c>
      <x:c r="D24" s="85" t="str">
        <x:v>tedensko</x:v>
      </x:c>
      <x:c r="E24" s="86" t="str">
        <x:v>e-commerce</x:v>
      </x:c>
    </x:row>
    <x:row r="25" ht="24" customHeight="1">
      <x:c r="A25" s="84" t="str">
        <x:v>P09</x:v>
      </x:c>
      <x:c r="B25" s="85" t="str">
        <x:v>K06</x:v>
      </x:c>
      <x:c r="C25" s="85" t="str">
        <x:v>odpoved zaradi zaloge</x:v>
      </x:c>
      <x:c r="D25" s="85" t="str">
        <x:v>tedensko</x:v>
      </x:c>
      <x:c r="E25" s="86" t="str">
        <x:v>e-commerce</x:v>
      </x:c>
    </x:row>
    <x:row r="26" ht="24" customHeight="1">
      <x:c r="A26" s="84" t="str">
        <x:v>P10</x:v>
      </x:c>
      <x:c r="B26" s="85" t="str">
        <x:v>K12</x:v>
      </x:c>
      <x:c r="C26" s="85" t="str">
        <x:v>return rate</x:v>
      </x:c>
      <x:c r="D26" s="85" t="str">
        <x:v>tedensko/mesečno</x:v>
      </x:c>
      <x:c r="E26" s="86" t="str">
        <x:v>e-commerce/servis</x:v>
      </x:c>
    </x:row>
    <x:row r="27" ht="24" customHeight="1">
      <x:c r="A27" s="84" t="str">
        <x:v>P10</x:v>
      </x:c>
      <x:c r="B27" s="85" t="str">
        <x:v>K15</x:v>
      </x:c>
      <x:c r="C27" s="85" t="str">
        <x:v>return cost/order</x:v>
      </x:c>
      <x:c r="D27" s="85" t="str">
        <x:v>mesečno</x:v>
      </x:c>
      <x:c r="E27" s="86" t="str">
        <x:v>finance</x:v>
      </x:c>
    </x:row>
    <x:row r="28" ht="24" customHeight="1">
      <x:c r="A28" s="84" t="str">
        <x:v>P11</x:v>
      </x:c>
      <x:c r="B28" s="85" t="str">
        <x:v>K19</x:v>
      </x:c>
      <x:c r="C28" s="85" t="str">
        <x:v>delež strukturiranih dokumentov</x:v>
      </x:c>
      <x:c r="D28" s="85" t="str">
        <x:v>mesečno</x:v>
      </x:c>
      <x:c r="E28" s="86" t="str">
        <x:v>finance</x:v>
      </x:c>
    </x:row>
    <x:row r="29" ht="24" customHeight="1">
      <x:c r="A29" s="84" t="str">
        <x:v>P11</x:v>
      </x:c>
      <x:c r="B29" s="85" t="str">
        <x:v>K20</x:v>
      </x:c>
      <x:c r="C29" s="85" t="str">
        <x:v>čas zaključka meseca</x:v>
      </x:c>
      <x:c r="D29" s="85" t="str">
        <x:v>mesečno</x:v>
      </x:c>
      <x:c r="E29" s="86" t="str">
        <x:v>finance</x:v>
      </x:c>
    </x:row>
    <x:row r="30" ht="24" customHeight="1">
      <x:c r="A30" s="84" t="str">
        <x:v>P12</x:v>
      </x:c>
      <x:c r="B30" s="85" t="str">
        <x:v>K20</x:v>
      </x:c>
      <x:c r="C30" s="85" t="str">
        <x:v>čas do odkritja odstopanja</x:v>
      </x:c>
      <x:c r="D30" s="85" t="str">
        <x:v>mesečno</x:v>
      </x:c>
      <x:c r="E30" s="86" t="str">
        <x:v>uprava</x:v>
      </x:c>
    </x:row>
    <x:row r="31" ht="24" customHeight="1">
      <x:c r="A31" s="87" t="str">
        <x:v>P12</x:v>
      </x:c>
      <x:c r="B31" s="88" t="str">
        <x:v>K01</x:v>
      </x:c>
      <x:c r="C31" s="88" t="str">
        <x:v>prispevna marža</x:v>
      </x:c>
      <x:c r="D31" s="88" t="str">
        <x:v>mesečno</x:v>
      </x:c>
      <x:c r="E31" s="89" t="str">
        <x:v>uprava/finance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2bc2e2abbbb4ce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58" hidden="0" customWidth="1"/>
    <x:col min="4" max="4" width="27" hidden="0" customWidth="1"/>
    <x:col min="5" max="5" width="24" hidden="0" customWidth="1"/>
    <x:col min="6" max="6" width="48" hidden="0" customWidth="1"/>
  </x:cols>
  <x:sheetData>
    <x:row r="1" ht="38" customHeight="1">
      <x:c r="A1" s="4" t="str">
        <x:v>Bolečina → finančna logika</x:v>
      </x:c>
      <x:c r="B1" s="4"/>
      <x:c r="C1" s="4"/>
      <x:c r="D1" s="4"/>
      <x:c r="E1" s="4"/>
      <x:c r="F1" s="4"/>
    </x:row>
    <x:row r="2" ht="34" customHeight="1">
      <x:c r="A2" s="52" t="str">
        <x:v>Ta list je zaščita pred napačno monetizacijo in dvojnim štetjem. Pri vsaki bolečini pove, kateri vhod in katera košarica sta pravilna.</x:v>
      </x:c>
      <x:c r="B2" s="52"/>
      <x:c r="C2" s="52"/>
      <x:c r="D2" s="52"/>
      <x:c r="E2" s="52"/>
      <x:c r="F2" s="52"/>
    </x:row>
    <x:row r="4" ht="28" customHeight="1">
      <x:c r="A4" s="59" t="str">
        <x:v>Modul</x:v>
      </x:c>
      <x:c r="B4" s="60" t="str">
        <x:v>Bolečina</x:v>
      </x:c>
      <x:c r="C4" s="60" t="str">
        <x:v>Formula/vhod</x:v>
      </x:c>
      <x:c r="D4" s="60" t="str">
        <x:v>Košarica</x:v>
      </x:c>
      <x:c r="E4" s="60" t="str">
        <x:v>Vir</x:v>
      </x:c>
      <x:c r="F4" s="61" t="str">
        <x:v>Pravilo</x:v>
      </x:c>
    </x:row>
    <x:row r="5" ht="24" customHeight="1">
      <x:c r="A5" s="81" t="str">
        <x:v>M01</x:v>
      </x:c>
      <x:c r="B5" s="82" t="str">
        <x:v>Stockout/prazna polica</x:v>
      </x:c>
      <x:c r="C5" s="82" t="str">
        <x:v>izgubljena prodaja x prispevna marža x (1−substitution)</x:v>
      </x:c>
      <x:c r="D5" s="82" t="str">
        <x:v>marža/leto</x:v>
      </x:c>
      <x:c r="E5" s="82" t="str">
        <x:v>POS/store audit</x:v>
      </x:c>
      <x:c r="F5" s="83" t="str">
        <x:v>ne vključuj spletnih odpovedi</x:v>
      </x:c>
    </x:row>
    <x:row r="6" ht="24" customHeight="1">
      <x:c r="A6" s="84" t="str">
        <x:v>M02</x:v>
      </x:c>
      <x:c r="B6" s="85" t="str">
        <x:v>Presežna zaloga</x:v>
      </x:c>
      <x:c r="C6" s="85" t="str">
        <x:v>povp. zaloga x zmanjšljivi delež</x:v>
      </x:c>
      <x:c r="D6" s="85" t="str">
        <x:v>kapital enkratno</x:v>
      </x:c>
      <x:c r="E6" s="85" t="str">
        <x:v>ERP/finance</x:v>
      </x:c>
      <x:c r="F6" s="86" t="str">
        <x:v>ne šteje se kot letni prihranek</x:v>
      </x:c>
    </x:row>
    <x:row r="7" ht="24" customHeight="1">
      <x:c r="A7" s="84" t="str">
        <x:v>M02</x:v>
      </x:c>
      <x:c r="B7" s="85" t="str">
        <x:v>Financiranje presežne zaloge</x:v>
      </x:c>
      <x:c r="C7" s="85" t="str">
        <x:v>sprostljiv kapital x strošek kapitala</x:v>
      </x:c>
      <x:c r="D7" s="85" t="str">
        <x:v>letna korist</x:v>
      </x:c>
      <x:c r="E7" s="85" t="str">
        <x:v>finance</x:v>
      </x:c>
      <x:c r="F7" s="86" t="str">
        <x:v>ločeno od kapitala</x:v>
      </x:c>
    </x:row>
    <x:row r="8" ht="24" customHeight="1">
      <x:c r="A8" s="84" t="str">
        <x:v>M02</x:v>
      </x:c>
      <x:c r="B8" s="85" t="str">
        <x:v>Odpisi/markdown</x:v>
      </x:c>
      <x:c r="C8" s="85" t="str">
        <x:v>potrjen odpis ali izgubljena marža</x:v>
      </x:c>
      <x:c r="D8" s="85" t="str">
        <x:v>neposredna izguba</x:v>
      </x:c>
      <x:c r="E8" s="85" t="str">
        <x:v>ERP/finance</x:v>
      </x:c>
      <x:c r="F8" s="86" t="str">
        <x:v>ne mešaj z mankom</x:v>
      </x:c>
    </x:row>
    <x:row r="9" ht="24" customHeight="1">
      <x:c r="A9" s="84" t="str">
        <x:v>M03</x:v>
      </x:c>
      <x:c r="B9" s="85" t="str">
        <x:v>Nabavni proces</x:v>
      </x:c>
      <x:c r="C9" s="85" t="str">
        <x:v>naročila x minute x strošek ure</x:v>
      </x:c>
      <x:c r="D9" s="85" t="str">
        <x:v>kapaciteta</x:v>
      </x:c>
      <x:c r="E9" s="85" t="str">
        <x:v>nabava</x:v>
      </x:c>
      <x:c r="F9" s="86" t="str">
        <x:v>materializacija ločeno</x:v>
      </x:c>
    </x:row>
    <x:row r="10" ht="24" customHeight="1">
      <x:c r="A10" s="84" t="str">
        <x:v>M03</x:v>
      </x:c>
      <x:c r="B10" s="85" t="str">
        <x:v>Rabati/ekspres</x:v>
      </x:c>
      <x:c r="C10" s="85" t="str">
        <x:v>potrjen znesek</x:v>
      </x:c>
      <x:c r="D10" s="85" t="str">
        <x:v>neposredna izguba</x:v>
      </x:c>
      <x:c r="E10" s="85" t="str">
        <x:v>nabava/finance</x:v>
      </x:c>
      <x:c r="F10" s="86" t="str">
        <x:v>stockout je v M01</x:v>
      </x:c>
    </x:row>
    <x:row r="11" ht="24" customHeight="1">
      <x:c r="A11" s="84" t="str">
        <x:v>M04</x:v>
      </x:c>
      <x:c r="B11" s="85" t="str">
        <x:v>Napake cen</x:v>
      </x:c>
      <x:c r="C11" s="85" t="str">
        <x:v>prizadeta prodaja x maržno odstopanje</x:v>
      </x:c>
      <x:c r="D11" s="85" t="str">
        <x:v>marža</x:v>
      </x:c>
      <x:c r="E11" s="85" t="str">
        <x:v>POS/cenik</x:v>
      </x:c>
      <x:c r="F11" s="86" t="str">
        <x:v>osnova je prizadeta prodaja, ne celotni COGS</x:v>
      </x:c>
    </x:row>
    <x:row r="12" ht="24" customHeight="1">
      <x:c r="A12" s="84" t="str">
        <x:v>M05</x:v>
      </x:c>
      <x:c r="B12" s="85" t="str">
        <x:v>Prevzem/prenosi</x:v>
      </x:c>
      <x:c r="C12" s="85" t="str">
        <x:v>ure x strošek ure + potrjene izgube</x:v>
      </x:c>
      <x:c r="D12" s="85" t="str">
        <x:v>kapaciteta / izguba</x:v>
      </x:c>
      <x:c r="E12" s="85" t="str">
        <x:v>skladišče</x:v>
      </x:c>
      <x:c r="F12" s="86" t="str">
        <x:v>knjiženje ostane M11</x:v>
      </x:c>
    </x:row>
    <x:row r="13" ht="24" customHeight="1">
      <x:c r="A13" s="84" t="str">
        <x:v>M06</x:v>
      </x:c>
      <x:c r="B13" s="85" t="str">
        <x:v>Zaključki</x:v>
      </x:c>
      <x:c r="C13" s="85" t="str">
        <x:v>blagajne x delovni dnevi x minute/60 x strošek ure</x:v>
      </x:c>
      <x:c r="D13" s="85" t="str">
        <x:v>kapaciteta</x:v>
      </x:c>
      <x:c r="E13" s="85" t="str">
        <x:v>POS</x:v>
      </x:c>
      <x:c r="F13" s="86" t="str">
        <x:v>ne ponovi v analitiki</x:v>
      </x:c>
    </x:row>
    <x:row r="14" ht="24" customHeight="1">
      <x:c r="A14" s="84" t="str">
        <x:v>M06</x:v>
      </x:c>
      <x:c r="B14" s="85" t="str">
        <x:v>Blagajniške razlike</x:v>
      </x:c>
      <x:c r="C14" s="85" t="str">
        <x:v>potrjen znesek</x:v>
      </x:c>
      <x:c r="D14" s="85" t="str">
        <x:v>neposredna izguba</x:v>
      </x:c>
      <x:c r="E14" s="85" t="str">
        <x:v>POS/finance</x:v>
      </x:c>
      <x:c r="F14" s="86" t="str">
        <x:v>ločeno od manka</x:v>
      </x:c>
    </x:row>
    <x:row r="15" ht="24" customHeight="1">
      <x:c r="A15" s="84" t="str">
        <x:v>M07</x:v>
      </x:c>
      <x:c r="B15" s="85" t="str">
        <x:v>Inventurni manko</x:v>
      </x:c>
      <x:c r="C15" s="85" t="str">
        <x:v>manko po nabavni vrednosti</x:v>
      </x:c>
      <x:c r="D15" s="85" t="str">
        <x:v>neposredna izguba</x:v>
      </x:c>
      <x:c r="E15" s="85" t="str">
        <x:v>inventura</x:v>
      </x:c>
      <x:c r="F15" s="86" t="str">
        <x:v>vzrok določa naslovljivost</x:v>
      </x:c>
    </x:row>
    <x:row r="16" ht="24" customHeight="1">
      <x:c r="A16" s="84" t="str">
        <x:v>M08</x:v>
      </x:c>
      <x:c r="B16" s="85" t="str">
        <x:v>Spletna odpoved</x:v>
      </x:c>
      <x:c r="C16" s="85" t="str">
        <x:v>odpovedi x prispevna marža</x:v>
      </x:c>
      <x:c r="D16" s="85" t="str">
        <x:v>marža</x:v>
      </x:c>
      <x:c r="E16" s="85" t="str">
        <x:v>OMS</x:v>
      </x:c>
      <x:c r="F16" s="86" t="str">
        <x:v>ne podvoji z M01</x:v>
      </x:c>
    </x:row>
    <x:row r="17" ht="24" customHeight="1">
      <x:c r="A17" s="84" t="str">
        <x:v>M08</x:v>
      </x:c>
      <x:c r="B17" s="85" t="str">
        <x:v>Vračila</x:v>
      </x:c>
      <x:c r="C17" s="85" t="str">
        <x:v>št. x (delo+logistika+pristojbine+odpis)+prevare</x:v>
      </x:c>
      <x:c r="D17" s="85" t="str">
        <x:v>neposredna izguba</x:v>
      </x:c>
      <x:c r="E17" s="85" t="str">
        <x:v>OMS/finance</x:v>
      </x:c>
      <x:c r="F17" s="86" t="str">
        <x:v>kupnina ni strošek sama po sebi</x:v>
      </x:c>
    </x:row>
    <x:row r="18" ht="24" customHeight="1">
      <x:c r="A18" s="84" t="str">
        <x:v>M09</x:v>
      </x:c>
      <x:c r="B18" s="85" t="str">
        <x:v>Evidence/razporedi</x:v>
      </x:c>
      <x:c r="C18" s="85" t="str">
        <x:v>ure x strošek ure</x:v>
      </x:c>
      <x:c r="D18" s="85" t="str">
        <x:v>kapaciteta</x:v>
      </x:c>
      <x:c r="E18" s="85" t="str">
        <x:v>HR</x:v>
      </x:c>
      <x:c r="F18" s="86" t="str">
        <x:v>denar samo pri materializaciji</x:v>
      </x:c>
    </x:row>
    <x:row r="19" ht="24" customHeight="1">
      <x:c r="A19" s="84" t="str">
        <x:v>M10</x:v>
      </x:c>
      <x:c r="B19" s="85" t="str">
        <x:v>Poročanje</x:v>
      </x:c>
      <x:c r="C19" s="85" t="str">
        <x:v>nedvojene ure x strošek ure</x:v>
      </x:c>
      <x:c r="D19" s="85" t="str">
        <x:v>kapaciteta</x:v>
      </x:c>
      <x:c r="E19" s="85" t="str">
        <x:v>BI/finance</x:v>
      </x:c>
      <x:c r="F19" s="86" t="str">
        <x:v>ne ponovi ur drugih modulov</x:v>
      </x:c>
    </x:row>
    <x:row r="20" ht="24" customHeight="1">
      <x:c r="A20" s="84" t="str">
        <x:v>M11</x:v>
      </x:c>
      <x:c r="B20" s="85" t="str">
        <x:v>Dokumenti</x:v>
      </x:c>
      <x:c r="C20" s="85" t="str">
        <x:v>dokumenti x minute x strošek ure + potrjene napake</x:v>
      </x:c>
      <x:c r="D20" s="85" t="str">
        <x:v>kapaciteta / izguba</x:v>
      </x:c>
      <x:c r="E20" s="85" t="str">
        <x:v>finance</x:v>
      </x:c>
      <x:c r="F20" s="86" t="str">
        <x:v>prevzem je M05</x:v>
      </x:c>
    </x:row>
    <x:row r="21" ht="24" customHeight="1">
      <x:c r="A21" s="87" t="str">
        <x:v>M12</x:v>
      </x:c>
      <x:c r="B21" s="88" t="str">
        <x:v>Garancije/servis</x:v>
      </x:c>
      <x:c r="C21" s="88" t="str">
        <x:v>primeri x (čas+servis+neizterjan zahtevek)</x:v>
      </x:c>
      <x:c r="D21" s="88" t="str">
        <x:v>kapaciteta / izguba</x:v>
      </x:c>
      <x:c r="E21" s="88" t="str">
        <x:v>servis/finance</x:v>
      </x:c>
      <x:c r="F21" s="89" t="str">
        <x:v>ne vključuj navadnih vračil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caced0634e64479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44" hidden="0" customWidth="1"/>
    <x:col min="4" max="4" width="43" hidden="0" customWidth="1"/>
    <x:col min="5" max="5" width="24" hidden="0" customWidth="1"/>
    <x:col min="6" max="6" width="24" hidden="0" customWidth="1"/>
    <x:col min="7" max="7" width="42" hidden="0" customWidth="1"/>
  </x:cols>
  <x:sheetData>
    <x:row r="1" ht="38" customHeight="1">
      <x:c r="A1" s="4" t="str">
        <x:v>Problem → podatkovni model</x:v>
      </x:c>
      <x:c r="B1" s="4"/>
      <x:c r="C1" s="4"/>
      <x:c r="D1" s="4"/>
      <x:c r="E1" s="4"/>
      <x:c r="F1" s="4"/>
      <x:c r="G1" s="4"/>
    </x:row>
    <x:row r="2" ht="34" customHeight="1">
      <x:c r="A2" s="52" t="str">
        <x:v>Podatkovni tip preprečuje, da bi se promet, COGS ali zaloga slučajno sešteli med letne izgube. Vzrok določa naslovljivost z informacijskim sistemom.</x:v>
      </x:c>
      <x:c r="B2" s="52"/>
      <x:c r="C2" s="52"/>
      <x:c r="D2" s="52"/>
      <x:c r="E2" s="52"/>
      <x:c r="F2" s="52"/>
      <x:c r="G2" s="52"/>
    </x:row>
    <x:row r="4" ht="28" customHeight="1">
      <x:c r="A4" s="59" t="str">
        <x:v>Modul</x:v>
      </x:c>
      <x:c r="B4" s="60" t="str">
        <x:v>Primarni tip</x:v>
      </x:c>
      <x:c r="C4" s="60" t="str">
        <x:v>Osnova</x:v>
      </x:c>
      <x:c r="D4" s="60" t="str">
        <x:v>Stopnja/izguba</x:v>
      </x:c>
      <x:c r="E4" s="60" t="str">
        <x:v>Vzrok</x:v>
      </x:c>
      <x:c r="F4" s="60" t="str">
        <x:v>Kontekst</x:v>
      </x:c>
      <x:c r="G4" s="61" t="str">
        <x:v>Pravilo</x:v>
      </x:c>
    </x:row>
    <x:row r="5" ht="24" customHeight="1">
      <x:c r="A5" s="81" t="str">
        <x:v>M01</x:v>
      </x:c>
      <x:c r="B5" s="82" t="str">
        <x:v>SCALE_BASE</x:v>
      </x:c>
      <x:c r="C5" s="82" t="str">
        <x:v>neto prodaja po kanalu</x:v>
      </x:c>
      <x:c r="D5" s="82" t="str">
        <x:v>LOSS_RATE</x:v>
      </x:c>
      <x:c r="E5" s="82" t="str">
        <x:v>stockout in substitution</x:v>
      </x:c>
      <x:c r="F5" s="82" t="str">
        <x:v>ROOT_CAUSE</x:v>
      </x:c>
      <x:c r="G5" s="83" t="str">
        <x:v>spletne odpovedi ne podvajaj</x:v>
      </x:c>
    </x:row>
    <x:row r="6" ht="24" customHeight="1">
      <x:c r="A6" s="84" t="str">
        <x:v>M02</x:v>
      </x:c>
      <x:c r="B6" s="85" t="str">
        <x:v>CAPITAL_BASE</x:v>
      </x:c>
      <x:c r="C6" s="85" t="str">
        <x:v>povprečna zaloga po nabavni vrednosti</x:v>
      </x:c>
      <x:c r="D6" s="85" t="str">
        <x:v>CAPITAL_RATE</x:v>
      </x:c>
      <x:c r="E6" s="85" t="str">
        <x:v>realno zmanjšljivi delež</x:v>
      </x:c>
      <x:c r="F6" s="85" t="str">
        <x:v>ROOT_CAUSE</x:v>
      </x:c>
      <x:c r="G6" s="86" t="str">
        <x:v>odpisi/manko ločeno</x:v>
      </x:c>
    </x:row>
    <x:row r="7" ht="24" customHeight="1">
      <x:c r="A7" s="84" t="str">
        <x:v>M03</x:v>
      </x:c>
      <x:c r="B7" s="85" t="str">
        <x:v>SCALE_BASE</x:v>
      </x:c>
      <x:c r="C7" s="85" t="str">
        <x:v>naročila in dobave</x:v>
      </x:c>
      <x:c r="D7" s="85" t="str">
        <x:v>TIME_VOLUME / DIRECT_LOSS</x:v>
      </x:c>
      <x:c r="E7" s="85" t="str">
        <x:v>minute, rabati, ekspres</x:v>
      </x:c>
      <x:c r="F7" s="85" t="str">
        <x:v>ROOT_CAUSE</x:v>
      </x:c>
      <x:c r="G7" s="86" t="str">
        <x:v>stockout ostane M01</x:v>
      </x:c>
    </x:row>
    <x:row r="8" ht="24" customHeight="1">
      <x:c r="A8" s="84" t="str">
        <x:v>M04</x:v>
      </x:c>
      <x:c r="B8" s="85" t="str">
        <x:v>SCALE_BASE</x:v>
      </x:c>
      <x:c r="C8" s="85" t="str">
        <x:v>prizadeta prodaja</x:v>
      </x:c>
      <x:c r="D8" s="85" t="str">
        <x:v>LOSS_RATE</x:v>
      </x:c>
      <x:c r="E8" s="85" t="str">
        <x:v>maržno ali cenovno odstopanje</x:v>
      </x:c>
      <x:c r="F8" s="85" t="str">
        <x:v>ROOT_CAUSE</x:v>
      </x:c>
      <x:c r="G8" s="86" t="str">
        <x:v>ne uporabi celotnega COGS</x:v>
      </x:c>
    </x:row>
    <x:row r="9" ht="24" customHeight="1">
      <x:c r="A9" s="84" t="str">
        <x:v>M05</x:v>
      </x:c>
      <x:c r="B9" s="85" t="str">
        <x:v>SCALE_BASE</x:v>
      </x:c>
      <x:c r="C9" s="85" t="str">
        <x:v>dobave, postavke, prenosi</x:v>
      </x:c>
      <x:c r="D9" s="85" t="str">
        <x:v>TIME_VOLUME</x:v>
      </x:c>
      <x:c r="E9" s="85" t="str">
        <x:v>minute/razlike</x:v>
      </x:c>
      <x:c r="F9" s="85" t="str">
        <x:v>ROOT_CAUSE</x:v>
      </x:c>
      <x:c r="G9" s="86" t="str">
        <x:v>knjiženje je M11</x:v>
      </x:c>
    </x:row>
    <x:row r="10" ht="24" customHeight="1">
      <x:c r="A10" s="84" t="str">
        <x:v>M06</x:v>
      </x:c>
      <x:c r="B10" s="85" t="str">
        <x:v>SCALE_BASE</x:v>
      </x:c>
      <x:c r="C10" s="85" t="str">
        <x:v>blagajne, delovni dnevi</x:v>
      </x:c>
      <x:c r="D10" s="85" t="str">
        <x:v>TIME_VOLUME / DIRECT_LOSS</x:v>
      </x:c>
      <x:c r="E10" s="85" t="str">
        <x:v>minute/razlike</x:v>
      </x:c>
      <x:c r="F10" s="85" t="str">
        <x:v>ROOT_CAUSE</x:v>
      </x:c>
      <x:c r="G10" s="86" t="str">
        <x:v>manko je M07</x:v>
      </x:c>
    </x:row>
    <x:row r="11" ht="24" customHeight="1">
      <x:c r="A11" s="84" t="str">
        <x:v>M07</x:v>
      </x:c>
      <x:c r="B11" s="85" t="str">
        <x:v>DIRECT_LOSS</x:v>
      </x:c>
      <x:c r="C11" s="85" t="str">
        <x:v>manko po nabavni vrednosti</x:v>
      </x:c>
      <x:c r="D11" s="85" t="str">
        <x:v>ROOT_CAUSE</x:v>
      </x:c>
      <x:c r="E11" s="85" t="str">
        <x:v>kraja/proces/podatki</x:v>
      </x:c>
      <x:c r="F11" s="85" t="str">
        <x:v>CONTEXT</x:v>
      </x:c>
      <x:c r="G11" s="86" t="str">
        <x:v>vračila/odpisi ločeno</x:v>
      </x:c>
    </x:row>
    <x:row r="12" ht="24" customHeight="1">
      <x:c r="A12" s="84" t="str">
        <x:v>M08</x:v>
      </x:c>
      <x:c r="B12" s="85" t="str">
        <x:v>SCALE_BASE</x:v>
      </x:c>
      <x:c r="C12" s="85" t="str">
        <x:v>spletna naročila</x:v>
      </x:c>
      <x:c r="D12" s="85" t="str">
        <x:v>LOSS_RATE / DIRECT_LOSS</x:v>
      </x:c>
      <x:c r="E12" s="85" t="str">
        <x:v>odpovedi, vračila, napake</x:v>
      </x:c>
      <x:c r="F12" s="85" t="str">
        <x:v>ROOT_CAUSE</x:v>
      </x:c>
      <x:c r="G12" s="86" t="str">
        <x:v>poslovalniški stockout je M01</x:v>
      </x:c>
    </x:row>
    <x:row r="13" ht="24" customHeight="1">
      <x:c r="A13" s="84" t="str">
        <x:v>M09</x:v>
      </x:c>
      <x:c r="B13" s="85" t="str">
        <x:v>SCALE_BASE</x:v>
      </x:c>
      <x:c r="C13" s="85" t="str">
        <x:v>izmene/ure</x:v>
      </x:c>
      <x:c r="D13" s="85" t="str">
        <x:v>TIME_VOLUME</x:v>
      </x:c>
      <x:c r="E13" s="85" t="str">
        <x:v>ure in nadure</x:v>
      </x:c>
      <x:c r="F13" s="85" t="str">
        <x:v>ROOT_CAUSE</x:v>
      </x:c>
      <x:c r="G13" s="86" t="str">
        <x:v>prodajni učinek nizke zanesljivosti</x:v>
      </x:c>
    </x:row>
    <x:row r="14" ht="24" customHeight="1">
      <x:c r="A14" s="84" t="str">
        <x:v>M10</x:v>
      </x:c>
      <x:c r="B14" s="85" t="str">
        <x:v>SCALE_BASE</x:v>
      </x:c>
      <x:c r="C14" s="85" t="str">
        <x:v>poročila/preglednice</x:v>
      </x:c>
      <x:c r="D14" s="85" t="str">
        <x:v>TIME_VOLUME</x:v>
      </x:c>
      <x:c r="E14" s="85" t="str">
        <x:v>nedvojene ure</x:v>
      </x:c>
      <x:c r="F14" s="85" t="str">
        <x:v>ROOT_CAUSE</x:v>
      </x:c>
      <x:c r="G14" s="86" t="str">
        <x:v>ne ponovi ur drugih modulov</x:v>
      </x:c>
    </x:row>
    <x:row r="15" ht="24" customHeight="1">
      <x:c r="A15" s="84" t="str">
        <x:v>M11</x:v>
      </x:c>
      <x:c r="B15" s="85" t="str">
        <x:v>SCALE_BASE</x:v>
      </x:c>
      <x:c r="C15" s="85" t="str">
        <x:v>dokumenti</x:v>
      </x:c>
      <x:c r="D15" s="85" t="str">
        <x:v>TIME_VOLUME / DIRECT_LOSS</x:v>
      </x:c>
      <x:c r="E15" s="85" t="str">
        <x:v>ročne minute, napake</x:v>
      </x:c>
      <x:c r="F15" s="85" t="str">
        <x:v>ROOT_CAUSE</x:v>
      </x:c>
      <x:c r="G15" s="86" t="str">
        <x:v>prevzem in iskanje ločeno</x:v>
      </x:c>
    </x:row>
    <x:row r="16" ht="24" customHeight="1">
      <x:c r="A16" s="87" t="str">
        <x:v>M12</x:v>
      </x:c>
      <x:c r="B16" s="88" t="str">
        <x:v>SCALE_BASE</x:v>
      </x:c>
      <x:c r="C16" s="88" t="str">
        <x:v>reklamacije/garancije</x:v>
      </x:c>
      <x:c r="D16" s="88" t="str">
        <x:v>TIME_VOLUME / DIRECT_LOSS</x:v>
      </x:c>
      <x:c r="E16" s="88" t="str">
        <x:v>čas, servis, zahtevki</x:v>
      </x:c>
      <x:c r="F16" s="88" t="str">
        <x:v>ROOT_CAUSE</x:v>
      </x:c>
      <x:c r="G16" s="89" t="str">
        <x:v>običajna vračila M08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eb791d0581c4b92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4" hidden="0" customWidth="1"/>
    <x:col min="5" max="5" width="48" hidden="0" customWidth="1"/>
    <x:col min="6" max="6" width="50" hidden="0" customWidth="1"/>
  </x:cols>
  <x:sheetData>
    <x:row r="1" ht="38" customHeight="1">
      <x:c r="A1" s="4" t="str">
        <x:v>ICP scoring – maloprodaja</x:v>
      </x:c>
      <x:c r="B1" s="4"/>
      <x:c r="C1" s="4"/>
      <x:c r="D1" s="4"/>
      <x:c r="E1" s="4"/>
      <x:c r="F1" s="4"/>
    </x:row>
    <x:row r="2" ht="34" customHeight="1">
      <x:c r="A2" s="52" t="str">
        <x:v>Ocena 1–5 se vnaša v modre celice. Prioriteta: 70+ audit in poslovni primer; 45–69 diagnostični lead magnet; pod 45 negovanje ali druga rešitev. Kritična rdeča zastavica ustavi pilot, ne glede na rezultat.</x:v>
      </x:c>
      <x:c r="B2" s="52"/>
      <x:c r="C2" s="52"/>
      <x:c r="D2" s="52"/>
      <x:c r="E2" s="52"/>
      <x:c r="F2" s="52"/>
    </x:row>
    <x:row r="4" ht="28" customHeight="1">
      <x:c r="A4" s="59" t="str">
        <x:v>Dimenzija</x:v>
      </x:c>
      <x:c r="B4" s="60" t="str">
        <x:v>Utež</x:v>
      </x:c>
      <x:c r="C4" s="60" t="str">
        <x:v>Ocena 1–5</x:v>
      </x:c>
      <x:c r="D4" s="60" t="str">
        <x:v>Točke</x:v>
      </x:c>
      <x:c r="E4" s="60" t="str">
        <x:v>Signal visoke vrednosti</x:v>
      </x:c>
      <x:c r="F4" s="61" t="str">
        <x:v>Kritična rdeča zastavica</x:v>
      </x:c>
    </x:row>
    <x:row r="5">
      <x:c r="A5" s="81" t="str">
        <x:v>Kompleksnost kanala</x:v>
      </x:c>
      <x:c r="B5" s="135" t="n">
        <x:v>0.2</x:v>
      </x:c>
      <x:c r="C5" s="144" t="n">
        <x:v>4</x:v>
      </x:c>
      <x:c r="D5" s="147" t="n">
        <x:f>B5*C5</x:f>
        <x:v>0.8</x:v>
      </x:c>
      <x:c r="E5" s="82" t="str">
        <x:v>poslovalnice + splet ali B2B/B2C hibrid</x:v>
      </x:c>
      <x:c r="F5" s="83" t="str">
        <x:v>—</x:v>
      </x:c>
    </x:row>
    <x:row r="6">
      <x:c r="A6" s="84" t="str">
        <x:v>Kompleksnost zaloge</x:v>
      </x:c>
      <x:c r="B6" s="136" t="n">
        <x:v>0.2</x:v>
      </x:c>
      <x:c r="C6" s="145" t="n">
        <x:v>4</x:v>
      </x:c>
      <x:c r="D6" s="127" t="n">
        <x:f>B6*C6</x:f>
        <x:v>0.8</x:v>
      </x:c>
      <x:c r="E6" s="85" t="str">
        <x:v>veliko SKU, lokacij, lotov/serij, prenosi</x:v>
      </x:c>
      <x:c r="F6" s="86" t="str">
        <x:v>—</x:v>
      </x:c>
    </x:row>
    <x:row r="7">
      <x:c r="A7" s="84" t="str">
        <x:v>Merljiv problem</x:v>
      </x:c>
      <x:c r="B7" s="136" t="n">
        <x:v>0.2</x:v>
      </x:c>
      <x:c r="C7" s="145" t="n">
        <x:v>3</x:v>
      </x:c>
      <x:c r="D7" s="127" t="n">
        <x:f>B7*C7</x:f>
        <x:v>0.6000000000000001</x:v>
      </x:c>
      <x:c r="E7" s="85" t="str">
        <x:v>znane razlike, ročne ure, odpovedi, staranje</x:v>
      </x:c>
      <x:c r="F7" s="86" t="str">
        <x:v>—</x:v>
      </x:c>
    </x:row>
    <x:row r="8">
      <x:c r="A8" s="84" t="str">
        <x:v>Spremembni sprožilec</x:v>
      </x:c>
      <x:c r="B8" s="136" t="n">
        <x:v>0.15</x:v>
      </x:c>
      <x:c r="C8" s="145" t="n">
        <x:v>4</x:v>
      </x:c>
      <x:c r="D8" s="127" t="n">
        <x:f>B8*C8</x:f>
        <x:v>0.6</x:v>
      </x:c>
      <x:c r="E8" s="85" t="str">
        <x:v>nova lokacija, migracija, rast, regulativa</x:v>
      </x:c>
      <x:c r="F8" s="86" t="str">
        <x:v>—</x:v>
      </x:c>
    </x:row>
    <x:row r="9">
      <x:c r="A9" s="84" t="str">
        <x:v>Pripravljenost podatkov</x:v>
      </x:c>
      <x:c r="B9" s="136" t="n">
        <x:v>0.1</x:v>
      </x:c>
      <x:c r="C9" s="145" t="n">
        <x:v>3</x:v>
      </x:c>
      <x:c r="D9" s="127" t="n">
        <x:f>B9*C9</x:f>
        <x:v>0.30000000000000004</x:v>
      </x:c>
      <x:c r="E9" s="85" t="str">
        <x:v>lahko da izvoz POS/zaloge/nabave</x:v>
      </x:c>
      <x:c r="F9" s="86" t="str">
        <x:v>ne more zagotoviti nobenega podatka</x:v>
      </x:c>
    </x:row>
    <x:row r="10">
      <x:c r="A10" s="84" t="str">
        <x:v>Fit PANTHEON-a</x:v>
      </x:c>
      <x:c r="B10" s="136" t="n">
        <x:v>0.1</x:v>
      </x:c>
      <x:c r="C10" s="145" t="n">
        <x:v>4</x:v>
      </x:c>
      <x:c r="D10" s="127" t="n">
        <x:f>B10*C10</x:f>
        <x:v>0.4</x:v>
      </x:c>
      <x:c r="E10" s="85" t="str">
        <x:v>POS + zaloga + finance + dokumenti</x:v>
      </x:c>
      <x:c r="F10" s="86" t="str">
        <x:v>zahteva specialistično rešitev brez scope</x:v>
      </x:c>
    </x:row>
    <x:row r="11">
      <x:c r="A11" s="87" t="str">
        <x:v>Dostop do odločevalca</x:v>
      </x:c>
      <x:c r="B11" s="137" t="n">
        <x:v>0.05</x:v>
      </x:c>
      <x:c r="C11" s="146" t="n">
        <x:v>3</x:v>
      </x:c>
      <x:c r="D11" s="148" t="n">
        <x:f>B11*C11</x:f>
        <x:v>0.15000000000000002</x:v>
      </x:c>
      <x:c r="E11" s="88" t="str">
        <x:v>lastnik/COO/finance in procesni lastnik</x:v>
      </x:c>
      <x:c r="F11" s="89" t="str">
        <x:v>ni sponsorja in lastnika podatkov</x:v>
      </x:c>
    </x:row>
    <x:row r="13">
      <x:c r="A13" s="150" t="str">
        <x:v>Skupni rezultat</x:v>
      </x:c>
      <x:c r="B13" s="151"/>
      <x:c r="C13" s="151"/>
      <x:c r="D13" s="153" t="n">
        <x:f>SUM(D5:D11)*20</x:f>
        <x:v>73</x:v>
      </x:c>
      <x:c r="E13" s="154" t="str">
        <x:f>IF(D13&gt;=70,"Audit in poslovni primer",IF(D13&gt;=45,"Diagnostični lead magnet","Negovanje / drug fit"))</x:f>
        <x:v>Audit in poslovni primer</x:v>
      </x:c>
      <x:c r="F13" s="152"/>
    </x:row>
  </x:sheetData>
  <x:mergeCells>
    <x:mergeCell ref="A1:F1"/>
    <x:mergeCell ref="A2:F2"/>
  </x:mergeCells>
  <x:conditionalFormatting sqref="D13:D13">
    <x:cfRule type="cellIs" dxfId="2" priority="1" operator="greaterThanOrEqual">
      <x:formula>70</x:formula>
    </x:cfRule>
    <x:cfRule type="cellIs" dxfId="3" priority="2" operator="lessThan">
      <x:formula>45</x:formula>
    </x:cfRule>
  </x:conditionalFormatting>
  <x:dataValidations count="1">
    <x:dataValidation type="whole" operator="between" sqref="C5:C1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41b3c354294ae4"/>
  </x:tableParts>
</x:worksheet>
</file>