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7f43481717d4926" /></Relationships>
</file>

<file path=xl/workbook.xml><?xml version="1.0" encoding="utf-8"?>
<x:workbook xmlns:x="http://schemas.openxmlformats.org/spreadsheetml/2006/main">
  <x:sheets>
    <x:sheet xmlns:r="http://schemas.openxmlformats.org/officeDocument/2006/relationships" name="00_Navodila" sheetId="1" r:id="R47dbb39aeed24847"/>
    <x:sheet xmlns:r="http://schemas.openxmlformats.org/officeDocument/2006/relationships" name="01_Vhodi" sheetId="2" r:id="R301539a5392b4e18"/>
    <x:sheet xmlns:r="http://schemas.openxmlformats.org/officeDocument/2006/relationships" name="02_Vprasanja" sheetId="3" r:id="R4d297229069e4300"/>
    <x:sheet xmlns:r="http://schemas.openxmlformats.org/officeDocument/2006/relationships" name="03_Register_izgub" sheetId="4" r:id="Reeb0228540ae4a0a"/>
    <x:sheet xmlns:r="http://schemas.openxmlformats.org/officeDocument/2006/relationships" name="04_ROI_scenariji" sheetId="5" r:id="R6e71b88a29424a4e"/>
    <x:sheet xmlns:r="http://schemas.openxmlformats.org/officeDocument/2006/relationships" name="05_KPI" sheetId="6" r:id="R577dc3a32cef4bb0"/>
    <x:sheet xmlns:r="http://schemas.openxmlformats.org/officeDocument/2006/relationships" name="06_Datalab_preslikava" sheetId="7" r:id="R3060774b314947ee"/>
    <x:sheet xmlns:r="http://schemas.openxmlformats.org/officeDocument/2006/relationships" name="07_Podatkovni_slovar" sheetId="8" r:id="R1a2cb30e91824b3c"/>
    <x:sheet xmlns:r="http://schemas.openxmlformats.org/officeDocument/2006/relationships" name="08_Validacije" sheetId="9" r:id="R2651c250908a449d"/>
    <x:sheet xmlns:r="http://schemas.openxmlformats.org/officeDocument/2006/relationships" name="09_Viri" sheetId="10" r:id="R56a4aae0964f4cca"/>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Red](€#,##0);-"/>
    <x:numFmt numFmtId="201" formatCode="0.0"/>
    <x:numFmt numFmtId="202" formatCode="0.0%"/>
    <x:numFmt numFmtId="203" formatCode="€0.00"/>
    <x:numFmt numFmtId="204" formatCode="0"/>
    <x:numFmt numFmtId="205" formatCode="#,##0"/>
    <x:numFmt numFmtId="206" formatCode="€#,##0"/>
    <x:numFmt numFmtId="207" formatCode="#,##0.0"/>
  </x:numFmts>
  <x:fonts count="26">
    <x:font>
      <x:sz val="11"/>
      <x:name val="Carlito"/>
    </x:font>
    <x:font>
      <x:b/>
      <x:sz val="18"/>
      <x:color rgb="FFFFFFFF"/>
      <x:name val="Carlito"/>
    </x:font>
    <x:font>
      <x:i/>
      <x:sz val="11"/>
      <x:color rgb="FF666666"/>
      <x:name val="Carlito"/>
    </x:font>
    <x:font>
      <x:b/>
      <x:sz val="11"/>
      <x:color rgb="FFFFFFFF"/>
      <x:name val="Carlito"/>
    </x:font>
    <x:font>
      <x:b/>
      <x:sz val="11"/>
      <x:color rgb="FF008000"/>
      <x:name val="Carlito"/>
    </x:font>
    <x:font>
      <x:b/>
      <x:sz val="11"/>
      <x:color rgb="FF17365D"/>
      <x:name val="Carlito"/>
    </x:font>
    <x:font>
      <x:sz val="11"/>
      <x:color rgb="FF0000FF"/>
      <x:name val="Carlito"/>
    </x:font>
    <x:font>
      <x:sz val="11"/>
      <x:color rgb="FF000000"/>
      <x:name val="Carlito"/>
    </x:font>
    <x:font>
      <x:sz val="11"/>
      <x:color rgb="FF008000"/>
      <x:name val="Carlito"/>
    </x:font>
    <x:font>
      <x:b/>
      <x:sz val="11"/>
      <x:color rgb="FFC00000"/>
      <x:name val="Carlito"/>
    </x:font>
    <x:font>
      <x:b/>
      <x:sz val="11"/>
      <x:color rgb="FF000000"/>
      <x:name val="Carlito"/>
    </x:font>
    <x:font>
      <x:b/>
      <x:sz val="11"/>
      <x:name val="Carlito"/>
    </x:font>
    <x:font>
      <x:sz val="11"/>
      <x:color rgb="FF0563C1"/>
      <x:name val="Carlito"/>
    </x:font>
    <x:font>
      <x:b/>
      <x:sz val="10"/>
      <x:color rgb="FFFFFFFF"/>
      <x:name val="Aptos"/>
    </x:font>
    <x:font>
      <x:sz val="10"/>
      <x:name val="Aptos"/>
    </x:font>
    <x:font>
      <x:i/>
      <x:sz val="10"/>
      <x:color rgb="FF666666"/>
      <x:name val="Aptos"/>
    </x:font>
    <x:font>
      <x:b/>
      <x:sz val="10"/>
      <x:color rgb="FF008000"/>
      <x:name val="Aptos"/>
    </x:font>
    <x:font>
      <x:b/>
      <x:sz val="10"/>
      <x:color rgb="FF17365D"/>
      <x:name val="Aptos"/>
    </x:font>
    <x:font>
      <x:sz val="10"/>
      <x:color rgb="FF0000FF"/>
      <x:name val="Aptos"/>
    </x:font>
    <x:font>
      <x:sz val="10"/>
      <x:color rgb="FF000000"/>
      <x:name val="Aptos"/>
    </x:font>
    <x:font>
      <x:sz val="10"/>
      <x:color rgb="FF008000"/>
      <x:name val="Aptos"/>
    </x:font>
    <x:font>
      <x:b/>
      <x:sz val="10"/>
      <x:color rgb="FFC00000"/>
      <x:name val="Aptos"/>
    </x:font>
    <x:font>
      <x:b/>
      <x:sz val="18"/>
      <x:color rgb="FFFFFFFF"/>
      <x:name val="Aptos Display"/>
    </x:font>
    <x:font>
      <x:b/>
      <x:sz val="10"/>
      <x:color rgb="FF000000"/>
      <x:name val="Aptos"/>
    </x:font>
    <x:font>
      <x:b/>
      <x:sz val="10"/>
      <x:name val="Aptos"/>
    </x:font>
    <x:font>
      <x:sz val="10"/>
      <x:color rgb="FF0563C1"/>
      <x:name val="Aptos"/>
    </x:font>
  </x:fonts>
  <x:fills count="9">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2F2F2"/>
      </x:patternFill>
    </x:fill>
    <x:fill>
      <x:patternFill patternType="solid">
        <x:fgColor rgb="FF2F75B5"/>
      </x:patternFill>
    </x:fill>
    <x:fill>
      <x:patternFill patternType="solid">
        <x:fgColor rgb="FFFFF2CC"/>
      </x:patternFill>
    </x:fill>
    <x:fill>
      <x:patternFill patternType="solid">
        <x:fgColor rgb="FFFCE4D6"/>
      </x:patternFill>
    </x:fill>
    <x:fill>
      <x:patternFill patternType="solid">
        <x:fgColor rgb="FFE2F0D9"/>
      </x:patternFill>
    </x:fill>
  </x:fills>
  <x:borders count="16">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top style="thin">
        <x:color rgb="FFD9E2F3"/>
      </x:top>
      <x:bottom style="thin">
        <x:color rgb="FFD9E2F3"/>
      </x:bottom>
    </x:border>
    <x:border>
      <x:left style="medium">
        <x:color rgb="FF548235"/>
      </x:left>
      <x:top style="medium">
        <x:color rgb="FF548235"/>
      </x:top>
      <x:bottom style="medium">
        <x:color rgb="FF548235"/>
      </x:bottom>
    </x:border>
    <x:border>
      <x:top style="medium">
        <x:color rgb="FF548235"/>
      </x:top>
      <x:bottom style="medium">
        <x:color rgb="FF548235"/>
      </x:bottom>
    </x:border>
    <x:border>
      <x:right style="medium">
        <x:color rgb="FF548235"/>
      </x:right>
      <x:top style="medium">
        <x:color rgb="FF548235"/>
      </x:top>
      <x:bottom style="medium">
        <x:color rgb="FF548235"/>
      </x:bottom>
    </x:border>
  </x:borders>
  <x:cellStyleXfs count="1">
    <x:xf numFmtId="0" fontId="0" fillId="0" borderId="0"/>
  </x:cellStyleXfs>
  <x:cellXfs count="1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5" borderId="2" xfId="0" applyNumberFormat="1" applyFont="1" applyFill="1" applyBorder="1" applyAlignment="1">
      <x:alignment vertical="center" wrapText="1"/>
    </x:xf>
    <x:xf numFmtId="0" fontId="3" fillId="5" borderId="3" xfId="0" applyNumberFormat="1" applyFont="1" applyFill="1" applyBorder="1" applyAlignment="1">
      <x:alignment vertical="center" wrapText="1"/>
    </x:xf>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200" fontId="4" fillId="0" borderId="12" xfId="0" applyNumberFormat="1" applyFont="1" applyFill="1" applyBorder="1" applyAlignment="1">
      <x:alignment vertical="top" wrapText="1"/>
    </x:xf>
    <x:xf numFmtId="201" fontId="4" fillId="0" borderId="12" xfId="0" applyNumberFormat="1" applyFont="1" applyFill="1" applyBorder="1" applyAlignment="1">
      <x:alignment vertical="top" wrapText="1"/>
    </x:xf>
    <x:xf numFmtId="202" fontId="4" fillId="0" borderId="12"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6" fillId="6" borderId="1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5" xfId="0" applyNumberFormat="1" applyFont="1" applyFill="1" applyBorder="1" applyAlignment="1">
      <x:alignment vertical="top" wrapText="1"/>
    </x:xf>
    <x:xf numFmtId="200" fontId="6" fillId="6" borderId="10" xfId="0" applyNumberFormat="1" applyFont="1" applyFill="1" applyBorder="1" applyAlignment="1">
      <x:alignment vertical="top" wrapText="1"/>
    </x:xf>
    <x:xf numFmtId="200" fontId="6" fillId="6" borderId="12" xfId="0" applyNumberFormat="1" applyFont="1" applyFill="1" applyBorder="1" applyAlignment="1">
      <x:alignment vertical="top" wrapText="1"/>
    </x:xf>
    <x:xf numFmtId="202" fontId="6" fillId="6" borderId="12" xfId="0" applyNumberFormat="1" applyFont="1" applyFill="1" applyBorder="1" applyAlignment="1">
      <x:alignment vertical="top" wrapText="1"/>
    </x:xf>
    <x:xf numFmtId="203" fontId="6" fillId="6" borderId="12" xfId="0" applyNumberFormat="1" applyFont="1" applyFill="1" applyBorder="1" applyAlignment="1">
      <x:alignment vertical="top" wrapText="1"/>
    </x:xf>
    <x:xf numFmtId="204" fontId="6" fillId="6" borderId="12" xfId="0" applyNumberFormat="1" applyFont="1" applyFill="1" applyBorder="1" applyAlignment="1">
      <x:alignment vertical="top" wrapText="1"/>
    </x:xf>
    <x:xf numFmtId="205" fontId="6" fillId="6" borderId="12" xfId="0" applyNumberFormat="1" applyFont="1" applyFill="1" applyBorder="1" applyAlignment="1">
      <x:alignment vertical="top" wrapText="1"/>
    </x:xf>
    <x:xf numFmtId="201" fontId="6" fillId="6" borderId="12" xfId="0" applyNumberFormat="1" applyFont="1" applyFill="1" applyBorder="1" applyAlignment="1">
      <x:alignment vertical="top" wrapText="1"/>
    </x:xf>
    <x:xf numFmtId="201" fontId="6" fillId="6" borderId="5" xfId="0" applyNumberFormat="1" applyFont="1" applyFill="1" applyBorder="1" applyAlignment="1">
      <x:alignment vertical="top" wrapText="1"/>
    </x:xf>
    <x:xf numFmtId="202" fontId="0" fillId="0" borderId="10" xfId="0" applyNumberFormat="1" applyFont="1" applyFill="1" applyBorder="1" applyAlignment="1">
      <x:alignment vertical="top" wrapText="1"/>
    </x:xf>
    <x:xf numFmtId="206" fontId="0" fillId="0" borderId="12" xfId="0" applyNumberFormat="1" applyFont="1" applyFill="1" applyBorder="1" applyAlignment="1">
      <x:alignment vertical="top" wrapText="1"/>
    </x:xf>
    <x:xf numFmtId="206" fontId="0" fillId="0" borderId="5" xfId="0" applyNumberFormat="1" applyFont="1" applyFill="1" applyBorder="1" applyAlignment="1">
      <x:alignment vertical="top" wrapText="1"/>
    </x:xf>
    <x:xf numFmtId="202" fontId="10" fillId="0" borderId="10" xfId="0" applyNumberFormat="1" applyFont="1" applyFill="1" applyBorder="1" applyAlignment="1">
      <x:alignment vertical="top" wrapText="1"/>
    </x:xf>
    <x:xf numFmtId="201" fontId="10" fillId="0" borderId="12" xfId="0" applyNumberFormat="1" applyFont="1" applyFill="1" applyBorder="1" applyAlignment="1">
      <x:alignment vertical="top" wrapText="1"/>
    </x:xf>
    <x:xf numFmtId="206" fontId="10" fillId="0" borderId="12" xfId="0" applyNumberFormat="1" applyFont="1" applyFill="1" applyBorder="1" applyAlignment="1">
      <x:alignment vertical="top" wrapText="1"/>
    </x:xf>
    <x:xf numFmtId="206" fontId="10" fillId="0" borderId="5"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5" xfId="0" applyNumberFormat="1" applyFont="1" applyFill="1" applyBorder="1" applyAlignment="1">
      <x:alignment vertical="top" wrapText="1"/>
    </x:xf>
    <x:xf numFmtId="202" fontId="6" fillId="6" borderId="10" xfId="0" applyNumberFormat="1" applyFont="1" applyFill="1" applyBorder="1" applyAlignment="1">
      <x:alignment vertical="top" wrapText="1"/>
    </x:xf>
    <x:xf numFmtId="202" fontId="6" fillId="6" borderId="5" xfId="0" applyNumberFormat="1" applyFont="1" applyFill="1" applyBorder="1" applyAlignment="1">
      <x:alignment vertical="top" wrapText="1"/>
    </x:xf>
    <x:xf numFmtId="207" fontId="6" fillId="6" borderId="10" xfId="0" applyNumberFormat="1" applyFont="1" applyFill="1" applyBorder="1" applyAlignment="1">
      <x:alignment vertical="top" wrapText="1"/>
    </x:xf>
    <x:xf numFmtId="207" fontId="6" fillId="6" borderId="12" xfId="0" applyNumberFormat="1" applyFont="1" applyFill="1" applyBorder="1" applyAlignment="1">
      <x:alignment vertical="top" wrapText="1"/>
    </x:xf>
    <x:xf numFmtId="207" fontId="6" fillId="6" borderId="5" xfId="0" applyNumberFormat="1" applyFont="1" applyFill="1" applyBorder="1" applyAlignment="1">
      <x:alignment vertical="top" wrapText="1"/>
    </x:xf>
    <x:xf numFmtId="200" fontId="7" fillId="0" borderId="10"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200" fontId="7" fillId="0" borderId="5" xfId="0" applyNumberFormat="1" applyFont="1" applyFill="1" applyBorder="1" applyAlignment="1">
      <x:alignment vertical="top" wrapText="1"/>
    </x:xf>
    <x:xf numFmtId="200" fontId="10" fillId="0" borderId="10" xfId="0" applyNumberFormat="1" applyFont="1" applyFill="1" applyBorder="1" applyAlignment="1">
      <x:alignment vertical="top" wrapText="1"/>
    </x:xf>
    <x:xf numFmtId="200" fontId="10" fillId="0" borderId="12" xfId="0" applyNumberFormat="1" applyFont="1" applyFill="1" applyBorder="1" applyAlignment="1">
      <x:alignment vertical="top" wrapText="1"/>
    </x:xf>
    <x:xf numFmtId="200" fontId="10" fillId="0" borderId="5"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200" fontId="8" fillId="0" borderId="10" xfId="0" applyNumberFormat="1" applyFont="1" applyFill="1" applyBorder="1" applyAlignment="1">
      <x:alignment vertical="top" wrapText="1"/>
    </x:xf>
    <x:xf numFmtId="200" fontId="8" fillId="0" borderId="12"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0" fontId="0" fillId="8" borderId="12" xfId="0" applyNumberFormat="1" applyFont="1" applyFill="1" applyBorder="1" applyAlignment="1">
      <x:alignment vertical="top" wrapText="1"/>
    </x:xf>
    <x:xf numFmtId="202" fontId="0" fillId="8" borderId="12" xfId="0" applyNumberFormat="1" applyFont="1" applyFill="1" applyBorder="1" applyAlignment="1">
      <x:alignment vertical="top" wrapText="1"/>
    </x:xf>
    <x:xf numFmtId="200" fontId="0" fillId="8" borderId="12" xfId="0" applyNumberFormat="1" applyFont="1" applyFill="1" applyBorder="1" applyAlignment="1">
      <x:alignment vertical="top" wrapText="1"/>
    </x:xf>
    <x:xf numFmtId="0" fontId="0" fillId="8" borderId="5" xfId="0" applyNumberFormat="1" applyFont="1" applyFill="1" applyBorder="1" applyAlignment="1">
      <x:alignment vertical="top" wrapText="1"/>
    </x:xf>
    <x:xf numFmtId="201" fontId="0" fillId="8" borderId="5" xfId="0" applyNumberFormat="1" applyFont="1" applyFill="1" applyBorder="1" applyAlignment="1">
      <x:alignment vertical="top" wrapText="1"/>
    </x:xf>
    <x:xf numFmtId="0" fontId="11" fillId="8" borderId="12" xfId="0" applyNumberFormat="1" applyFont="1" applyFill="1" applyBorder="1" applyAlignment="1">
      <x:alignment vertical="top" wrapText="1"/>
    </x:xf>
    <x:xf numFmtId="202" fontId="11" fillId="8" borderId="12" xfId="0" applyNumberFormat="1" applyFont="1" applyFill="1" applyBorder="1" applyAlignment="1">
      <x:alignment vertical="top" wrapText="1"/>
    </x:xf>
    <x:xf numFmtId="200" fontId="11" fillId="8" borderId="12" xfId="0" applyNumberFormat="1" applyFont="1" applyFill="1" applyBorder="1" applyAlignment="1">
      <x:alignment vertical="top" wrapText="1"/>
    </x:xf>
    <x:xf numFmtId="0" fontId="11" fillId="8" borderId="5" xfId="0" applyNumberFormat="1" applyFont="1" applyFill="1" applyBorder="1" applyAlignment="1">
      <x:alignment vertical="top" wrapText="1"/>
    </x:xf>
    <x:xf numFmtId="201" fontId="11" fillId="8" borderId="5" xfId="0" applyNumberFormat="1" applyFont="1" applyFill="1" applyBorder="1" applyAlignment="1">
      <x:alignment vertical="top" wrapText="1"/>
    </x:xf>
    <x:xf numFmtId="202" fontId="0" fillId="0" borderId="0" xfId="0" applyNumberFormat="1" applyFont="1" applyFill="1" applyBorder="1"/>
    <x:xf numFmtId="207" fontId="0" fillId="0" borderId="10" xfId="0" applyNumberFormat="1" applyFont="1" applyFill="1" applyBorder="1" applyAlignment="1">
      <x:alignment vertical="top" wrapText="1"/>
    </x:xf>
    <x:xf numFmtId="207" fontId="0" fillId="0" borderId="12" xfId="0" applyNumberFormat="1" applyFont="1" applyFill="1" applyBorder="1" applyAlignment="1">
      <x:alignment vertical="top" wrapText="1"/>
    </x:xf>
    <x:xf numFmtId="0" fontId="11" fillId="0" borderId="10" xfId="0" applyNumberFormat="1" applyFont="1" applyFill="1" applyBorder="1" applyAlignment="1">
      <x:alignment vertical="top" wrapText="1"/>
    </x:xf>
    <x:xf numFmtId="0" fontId="11" fillId="0" borderId="12" xfId="0" applyNumberFormat="1" applyFont="1" applyFill="1" applyBorder="1" applyAlignment="1">
      <x:alignment vertical="top" wrapText="1"/>
    </x:xf>
    <x:xf numFmtId="0" fontId="11" fillId="0" borderId="5" xfId="0" applyNumberFormat="1" applyFont="1" applyFill="1" applyBorder="1" applyAlignment="1">
      <x:alignment vertical="top" wrapText="1"/>
    </x:xf>
    <x:xf numFmtId="0" fontId="11" fillId="8" borderId="13" xfId="0" applyNumberFormat="1" applyFont="1" applyFill="1" applyBorder="1" applyAlignment="1">
      <x:alignment vertical="top" wrapText="1"/>
    </x:xf>
    <x:xf numFmtId="0" fontId="11" fillId="8" borderId="14" xfId="0" applyNumberFormat="1" applyFont="1" applyFill="1" applyBorder="1" applyAlignment="1">
      <x:alignment vertical="top" wrapText="1"/>
    </x:xf>
    <x:xf numFmtId="0" fontId="11" fillId="8" borderId="15"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0" borderId="5" xfId="0" applyNumberFormat="1" applyFont="1" applyFill="1" applyBorder="1" applyAlignment="1">
      <x:alignment vertical="top" wrapText="1"/>
    </x:xf>
    <x:xf numFmtId="0" fontId="13" fillId="2" borderId="0" xfId="0" applyNumberFormat="1" applyFont="1" applyFill="1" applyBorder="1" applyAlignment="1">
      <x:alignment vertical="center"/>
    </x:xf>
    <x:xf numFmtId="0" fontId="14" fillId="0" borderId="0" xfId="0" applyNumberFormat="1" applyFont="1" applyFill="1" applyBorder="1"/>
    <x:xf numFmtId="0" fontId="15" fillId="3" borderId="0" xfId="0" applyNumberFormat="1" applyFont="1" applyFill="1" applyBorder="1" applyAlignment="1">
      <x:alignment wrapText="1"/>
    </x:xf>
    <x:xf numFmtId="0" fontId="13" fillId="2" borderId="1" xfId="0" applyNumberFormat="1" applyFont="1" applyFill="1" applyBorder="1"/>
    <x:xf numFmtId="0" fontId="13" fillId="2" borderId="2" xfId="0" applyNumberFormat="1" applyFont="1" applyFill="1" applyBorder="1"/>
    <x:xf numFmtId="0" fontId="13" fillId="2" borderId="3" xfId="0" applyNumberFormat="1" applyFont="1" applyFill="1" applyBorder="1"/>
    <x:xf numFmtId="0" fontId="14" fillId="4" borderId="4" xfId="0" applyNumberFormat="1" applyFont="1" applyFill="1" applyBorder="1" applyAlignment="1">
      <x:alignment vertical="top" wrapText="1"/>
    </x:xf>
    <x:xf numFmtId="0" fontId="14" fillId="0" borderId="5" xfId="0" applyNumberFormat="1" applyFont="1" applyFill="1" applyBorder="1"/>
    <x:xf numFmtId="0" fontId="14" fillId="0" borderId="6" xfId="0" applyNumberFormat="1" applyFont="1" applyFill="1" applyBorder="1"/>
    <x:xf numFmtId="0" fontId="14" fillId="0" borderId="7" xfId="0" applyNumberFormat="1" applyFont="1" applyFill="1" applyBorder="1"/>
    <x:xf numFmtId="0" fontId="14" fillId="0" borderId="8" xfId="0" applyNumberFormat="1" applyFont="1" applyFill="1" applyBorder="1"/>
    <x:xf numFmtId="0" fontId="14" fillId="0" borderId="9" xfId="0" applyNumberFormat="1" applyFont="1" applyFill="1" applyBorder="1"/>
    <x:xf numFmtId="0" fontId="14" fillId="0" borderId="10" xfId="0" applyNumberFormat="1" applyFont="1" applyFill="1" applyBorder="1"/>
    <x:xf numFmtId="0" fontId="14" fillId="0" borderId="11" xfId="0" applyNumberFormat="1" applyFont="1" applyFill="1" applyBorder="1"/>
    <x:xf numFmtId="0" fontId="13" fillId="5" borderId="1" xfId="0" applyNumberFormat="1" applyFont="1" applyFill="1" applyBorder="1" applyAlignment="1">
      <x:alignment vertical="center" wrapText="1"/>
    </x:xf>
    <x:xf numFmtId="0" fontId="13" fillId="5" borderId="2" xfId="0" applyNumberFormat="1" applyFont="1" applyFill="1" applyBorder="1" applyAlignment="1">
      <x:alignment vertical="center" wrapText="1"/>
    </x:xf>
    <x:xf numFmtId="0" fontId="13" fillId="5" borderId="3" xfId="0" applyNumberFormat="1" applyFont="1" applyFill="1" applyBorder="1" applyAlignment="1">
      <x:alignment vertical="center" wrapText="1"/>
    </x:xf>
    <x:xf numFmtId="0" fontId="14" fillId="0" borderId="10" xfId="0" applyNumberFormat="1" applyFont="1" applyFill="1" applyBorder="1" applyAlignment="1">
      <x:alignment vertical="top" wrapText="1"/>
    </x:xf>
    <x:xf numFmtId="200" fontId="16" fillId="0" borderId="10" xfId="0" applyNumberFormat="1" applyFont="1" applyFill="1" applyBorder="1" applyAlignment="1">
      <x:alignment vertical="top" wrapText="1"/>
    </x:xf>
    <x:xf numFmtId="0" fontId="17" fillId="0" borderId="10" xfId="0" applyNumberFormat="1" applyFont="1" applyFill="1" applyBorder="1" applyAlignment="1">
      <x:alignment vertical="top" wrapText="1"/>
    </x:xf>
    <x:xf numFmtId="0" fontId="14" fillId="0" borderId="12" xfId="0" applyNumberFormat="1" applyFont="1" applyFill="1" applyBorder="1" applyAlignment="1">
      <x:alignment vertical="top" wrapText="1"/>
    </x:xf>
    <x:xf numFmtId="200" fontId="16" fillId="0" borderId="12"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2" fontId="16" fillId="0" borderId="12"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200" fontId="16" fillId="0" borderId="5" xfId="0" applyNumberFormat="1" applyFont="1" applyFill="1" applyBorder="1" applyAlignment="1">
      <x:alignment vertical="top" wrapText="1"/>
    </x:xf>
    <x:xf numFmtId="0" fontId="18" fillId="6" borderId="10" xfId="0" applyNumberFormat="1" applyFont="1" applyFill="1" applyBorder="1" applyAlignment="1">
      <x:alignment vertical="top" wrapText="1"/>
    </x:xf>
    <x:xf numFmtId="0" fontId="19" fillId="0" borderId="12" xfId="0" applyNumberFormat="1" applyFont="1" applyFill="1" applyBorder="1" applyAlignment="1">
      <x:alignment vertical="top" wrapText="1"/>
    </x:xf>
    <x:xf numFmtId="0" fontId="20" fillId="0" borderId="12" xfId="0" applyNumberFormat="1" applyFont="1" applyFill="1" applyBorder="1" applyAlignment="1">
      <x:alignment vertical="top" wrapText="1"/>
    </x:xf>
    <x:xf numFmtId="0" fontId="21" fillId="7" borderId="5" xfId="0" applyNumberFormat="1" applyFont="1" applyFill="1" applyBorder="1" applyAlignment="1">
      <x:alignment vertical="top" wrapText="1"/>
    </x:xf>
    <x:xf numFmtId="0" fontId="22" fillId="2" borderId="0" xfId="0" applyNumberFormat="1" applyFont="1" applyFill="1" applyBorder="1" applyAlignment="1">
      <x:alignment vertical="center"/>
    </x:xf>
    <x:xf numFmtId="200" fontId="18" fillId="6" borderId="10" xfId="0" applyNumberFormat="1" applyFont="1" applyFill="1" applyBorder="1" applyAlignment="1">
      <x:alignment vertical="top" wrapText="1"/>
    </x:xf>
    <x:xf numFmtId="202" fontId="23" fillId="0" borderId="10" xfId="0" applyNumberFormat="1" applyFont="1" applyFill="1" applyBorder="1" applyAlignment="1">
      <x:alignment vertical="top" wrapText="1"/>
    </x:xf>
    <x:xf numFmtId="200" fontId="18" fillId="6" borderId="12" xfId="0" applyNumberFormat="1" applyFont="1" applyFill="1" applyBorder="1" applyAlignment="1">
      <x:alignment vertical="top" wrapText="1"/>
    </x:xf>
    <x:xf numFmtId="201" fontId="23" fillId="0" borderId="12" xfId="0" applyNumberFormat="1" applyFont="1" applyFill="1" applyBorder="1" applyAlignment="1">
      <x:alignment vertical="top" wrapText="1"/>
    </x:xf>
    <x:xf numFmtId="206" fontId="23" fillId="0" borderId="12" xfId="0" applyNumberFormat="1" applyFont="1" applyFill="1" applyBorder="1" applyAlignment="1">
      <x:alignment vertical="top" wrapText="1"/>
    </x:xf>
    <x:xf numFmtId="202" fontId="18" fillId="6" borderId="12" xfId="0" applyNumberFormat="1" applyFont="1" applyFill="1" applyBorder="1" applyAlignment="1">
      <x:alignment vertical="top" wrapText="1"/>
    </x:xf>
    <x:xf numFmtId="206" fontId="23" fillId="0" borderId="5" xfId="0" applyNumberFormat="1" applyFont="1" applyFill="1" applyBorder="1" applyAlignment="1">
      <x:alignment vertical="top" wrapText="1"/>
    </x:xf>
    <x:xf numFmtId="203" fontId="18" fillId="6" borderId="12" xfId="0" applyNumberFormat="1" applyFont="1" applyFill="1" applyBorder="1" applyAlignment="1">
      <x:alignment vertical="top" wrapText="1"/>
    </x:xf>
    <x:xf numFmtId="204" fontId="18" fillId="6" borderId="12" xfId="0" applyNumberFormat="1" applyFont="1" applyFill="1" applyBorder="1" applyAlignment="1">
      <x:alignment vertical="top" wrapText="1"/>
    </x:xf>
    <x:xf numFmtId="205" fontId="18" fillId="6" borderId="12" xfId="0" applyNumberFormat="1" applyFont="1" applyFill="1" applyBorder="1" applyAlignment="1">
      <x:alignment vertical="top" wrapText="1"/>
    </x:xf>
    <x:xf numFmtId="201" fontId="18" fillId="6" borderId="12" xfId="0" applyNumberFormat="1" applyFont="1" applyFill="1" applyBorder="1" applyAlignment="1">
      <x:alignment vertical="top" wrapText="1"/>
    </x:xf>
    <x:xf numFmtId="201" fontId="18" fillId="6" borderId="5" xfId="0" applyNumberFormat="1" applyFont="1" applyFill="1" applyBorder="1" applyAlignment="1">
      <x:alignment vertical="top" wrapText="1"/>
    </x:xf>
    <x:xf numFmtId="0" fontId="14" fillId="4" borderId="10" xfId="0" applyNumberFormat="1" applyFont="1" applyFill="1" applyBorder="1" applyAlignment="1">
      <x:alignment vertical="top" wrapText="1"/>
    </x:xf>
    <x:xf numFmtId="0" fontId="14" fillId="4" borderId="12" xfId="0" applyNumberFormat="1" applyFont="1" applyFill="1" applyBorder="1" applyAlignment="1">
      <x:alignment vertical="top" wrapText="1"/>
    </x:xf>
    <x:xf numFmtId="0" fontId="14" fillId="4" borderId="5" xfId="0" applyNumberFormat="1" applyFont="1" applyFill="1" applyBorder="1" applyAlignment="1">
      <x:alignment vertical="top" wrapText="1"/>
    </x:xf>
    <x:xf numFmtId="207" fontId="18" fillId="6" borderId="10" xfId="0" applyNumberFormat="1" applyFont="1" applyFill="1" applyBorder="1" applyAlignment="1">
      <x:alignment vertical="top" wrapText="1"/>
    </x:xf>
    <x:xf numFmtId="200" fontId="19" fillId="0" borderId="10" xfId="0" applyNumberFormat="1" applyFont="1" applyFill="1" applyBorder="1" applyAlignment="1">
      <x:alignment vertical="top" wrapText="1"/>
    </x:xf>
    <x:xf numFmtId="202" fontId="18" fillId="6" borderId="10" xfId="0" applyNumberFormat="1" applyFont="1" applyFill="1" applyBorder="1" applyAlignment="1">
      <x:alignment vertical="top" wrapText="1"/>
    </x:xf>
    <x:xf numFmtId="200" fontId="23" fillId="0" borderId="10" xfId="0" applyNumberFormat="1" applyFont="1" applyFill="1" applyBorder="1" applyAlignment="1">
      <x:alignment vertical="top" wrapText="1"/>
    </x:xf>
    <x:xf numFmtId="0" fontId="18" fillId="6" borderId="12" xfId="0" applyNumberFormat="1" applyFont="1" applyFill="1" applyBorder="1" applyAlignment="1">
      <x:alignment vertical="top" wrapText="1"/>
    </x:xf>
    <x:xf numFmtId="207" fontId="18" fillId="6" borderId="12" xfId="0" applyNumberFormat="1" applyFont="1" applyFill="1" applyBorder="1" applyAlignment="1">
      <x:alignment vertical="top" wrapText="1"/>
    </x:xf>
    <x:xf numFmtId="200" fontId="19" fillId="0" borderId="12" xfId="0" applyNumberFormat="1" applyFont="1" applyFill="1" applyBorder="1" applyAlignment="1">
      <x:alignment vertical="top" wrapText="1"/>
    </x:xf>
    <x:xf numFmtId="200" fontId="23" fillId="0" borderId="12" xfId="0" applyNumberFormat="1" applyFont="1" applyFill="1" applyBorder="1" applyAlignment="1">
      <x:alignment vertical="top" wrapText="1"/>
    </x:xf>
    <x:xf numFmtId="0" fontId="18" fillId="6" borderId="5" xfId="0" applyNumberFormat="1" applyFont="1" applyFill="1" applyBorder="1" applyAlignment="1">
      <x:alignment vertical="top" wrapText="1"/>
    </x:xf>
    <x:xf numFmtId="207" fontId="18" fillId="6" borderId="5" xfId="0" applyNumberFormat="1" applyFont="1" applyFill="1" applyBorder="1" applyAlignment="1">
      <x:alignment vertical="top" wrapText="1"/>
    </x:xf>
    <x:xf numFmtId="200" fontId="19" fillId="0" borderId="5" xfId="0" applyNumberFormat="1" applyFont="1" applyFill="1" applyBorder="1" applyAlignment="1">
      <x:alignment vertical="top" wrapText="1"/>
    </x:xf>
    <x:xf numFmtId="202" fontId="18" fillId="6" borderId="5" xfId="0" applyNumberFormat="1" applyFont="1" applyFill="1" applyBorder="1" applyAlignment="1">
      <x:alignment vertical="top" wrapText="1"/>
    </x:xf>
    <x:xf numFmtId="200" fontId="23" fillId="0" borderId="5" xfId="0" applyNumberFormat="1" applyFont="1" applyFill="1" applyBorder="1" applyAlignment="1">
      <x:alignment vertical="top" wrapText="1"/>
    </x:xf>
    <x:xf numFmtId="200" fontId="20" fillId="0" borderId="10" xfId="0" applyNumberFormat="1" applyFont="1" applyFill="1" applyBorder="1" applyAlignment="1">
      <x:alignment vertical="top" wrapText="1"/>
    </x:xf>
    <x:xf numFmtId="202" fontId="14" fillId="0" borderId="0" xfId="0" applyNumberFormat="1" applyFont="1" applyFill="1" applyBorder="1"/>
    <x:xf numFmtId="200" fontId="20" fillId="0" borderId="12" xfId="0" applyNumberFormat="1" applyFont="1" applyFill="1" applyBorder="1" applyAlignment="1">
      <x:alignment vertical="top" wrapText="1"/>
    </x:xf>
    <x:xf numFmtId="200" fontId="14" fillId="0" borderId="12" xfId="0" applyNumberFormat="1" applyFont="1" applyFill="1" applyBorder="1" applyAlignment="1">
      <x:alignment vertical="top" wrapText="1"/>
    </x:xf>
    <x:xf numFmtId="0" fontId="24" fillId="8" borderId="12" xfId="0" applyNumberFormat="1" applyFont="1" applyFill="1" applyBorder="1" applyAlignment="1">
      <x:alignment vertical="top" wrapText="1"/>
    </x:xf>
    <x:xf numFmtId="202" fontId="24" fillId="8" borderId="12" xfId="0" applyNumberFormat="1" applyFont="1" applyFill="1" applyBorder="1" applyAlignment="1">
      <x:alignment vertical="top" wrapText="1"/>
    </x:xf>
    <x:xf numFmtId="200" fontId="24" fillId="8" borderId="12" xfId="0" applyNumberFormat="1" applyFont="1" applyFill="1" applyBorder="1" applyAlignment="1">
      <x:alignment vertical="top" wrapText="1"/>
    </x:xf>
    <x:xf numFmtId="0" fontId="24" fillId="8" borderId="5" xfId="0" applyNumberFormat="1" applyFont="1" applyFill="1" applyBorder="1" applyAlignment="1">
      <x:alignment vertical="top" wrapText="1"/>
    </x:xf>
    <x:xf numFmtId="201" fontId="24" fillId="8" borderId="5" xfId="0" applyNumberFormat="1" applyFont="1" applyFill="1" applyBorder="1" applyAlignment="1">
      <x:alignment vertical="top" wrapText="1"/>
    </x:xf>
    <x:xf numFmtId="207" fontId="14" fillId="0" borderId="10" xfId="0" applyNumberFormat="1" applyFont="1" applyFill="1" applyBorder="1" applyAlignment="1">
      <x:alignment vertical="top" wrapText="1"/>
    </x:xf>
    <x:xf numFmtId="0" fontId="24" fillId="0" borderId="10" xfId="0" applyNumberFormat="1" applyFont="1" applyFill="1" applyBorder="1" applyAlignment="1">
      <x:alignment vertical="top" wrapText="1"/>
    </x:xf>
    <x:xf numFmtId="207" fontId="14" fillId="0" borderId="12" xfId="0" applyNumberFormat="1" applyFont="1" applyFill="1" applyBorder="1" applyAlignment="1">
      <x:alignment vertical="top" wrapText="1"/>
    </x:xf>
    <x:xf numFmtId="0" fontId="24" fillId="0" borderId="12" xfId="0" applyNumberFormat="1" applyFont="1" applyFill="1" applyBorder="1" applyAlignment="1">
      <x:alignment vertical="top" wrapText="1"/>
    </x:xf>
    <x:xf numFmtId="0" fontId="24" fillId="8" borderId="13" xfId="0" applyNumberFormat="1" applyFont="1" applyFill="1" applyBorder="1" applyAlignment="1">
      <x:alignment vertical="top" wrapText="1"/>
    </x:xf>
    <x:xf numFmtId="0" fontId="24" fillId="8" borderId="14" xfId="0" applyNumberFormat="1" applyFont="1" applyFill="1" applyBorder="1" applyAlignment="1">
      <x:alignment vertical="top" wrapText="1"/>
    </x:xf>
    <x:xf numFmtId="0" fontId="24" fillId="8" borderId="15" xfId="0" applyNumberFormat="1" applyFont="1" applyFill="1" applyBorder="1" applyAlignment="1">
      <x:alignment vertical="top" wrapText="1"/>
    </x:xf>
    <x:xf numFmtId="0" fontId="25" fillId="0" borderId="10" xfId="0" applyNumberFormat="1" applyFont="1" applyFill="1" applyBorder="1" applyAlignment="1">
      <x:alignment vertical="top" wrapText="1"/>
    </x:xf>
    <x:xf numFmtId="0" fontId="25" fillId="0" borderId="12" xfId="0" applyNumberFormat="1" applyFont="1" applyFill="1" applyBorder="1" applyAlignment="1">
      <x:alignment vertical="top" wrapText="1"/>
    </x:xf>
    <x:xf numFmtId="0" fontId="25" fillId="0" borderId="5" xfId="0" applyNumberFormat="1" applyFont="1" applyFill="1" applyBorder="1" applyAlignment="1">
      <x:alignment vertical="top" wrapText="1"/>
    </x:xf>
  </x:cellXfs>
  <x:cellStyles count="1">
    <x:cellStyle name="Normal" xfId="0"/>
  </x:cellStyles>
  <x:dxfs count="4">
    <x:dxf>
      <x:font>
        <x:b/>
        <x:color rgb="FFC00000"/>
      </x:font>
      <x:fill>
        <x:patternFill patternType="solid">
          <x:bgColor rgb="FFFCE4D6"/>
        </x:patternFill>
      </x:fill>
    </x:dxf>
    <x:dxf>
      <x:font>
        <x:b/>
        <x:color rgb="FFC00000"/>
      </x:font>
      <x:fill>
        <x:patternFill patternType="solid">
          <x:bgColor rgb="FFFCE4D6"/>
        </x:patternFill>
      </x:fill>
    </x:dxf>
    <x:dxf>
      <x:font>
        <x:b/>
        <x:color rgb="FF548235"/>
      </x:font>
      <x:fill>
        <x:patternFill patternType="solid">
          <x:bgColor rgb="FFE2F0D9"/>
        </x:patternFill>
      </x:fill>
    </x:dxf>
    <x:dxf>
      <x:font>
        <x:b/>
        <x:color rgb="FF548235"/>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4ab1331c754f20" /><Relationship Type="http://schemas.openxmlformats.org/officeDocument/2006/relationships/theme" Target="/xl/theme/theme1.xml" Id="R136c527b4771478c" /><Relationship Type="http://schemas.openxmlformats.org/officeDocument/2006/relationships/sharedStrings" Target="/xl/sharedStrings.xml" Id="R5d4d8eaf87bf495d" /><Relationship Type="http://schemas.openxmlformats.org/officeDocument/2006/relationships/worksheet" Target="/xl/worksheets/sheet1.xml" Id="R47dbb39aeed24847" /><Relationship Type="http://schemas.openxmlformats.org/officeDocument/2006/relationships/worksheet" Target="/xl/worksheets/sheet2.xml" Id="R301539a5392b4e18" /><Relationship Type="http://schemas.openxmlformats.org/officeDocument/2006/relationships/worksheet" Target="/xl/worksheets/sheet3.xml" Id="R4d297229069e4300" /><Relationship Type="http://schemas.openxmlformats.org/officeDocument/2006/relationships/worksheet" Target="/xl/worksheets/sheet4.xml" Id="Reeb0228540ae4a0a" /><Relationship Type="http://schemas.openxmlformats.org/officeDocument/2006/relationships/worksheet" Target="/xl/worksheets/sheet5.xml" Id="R6e71b88a29424a4e" /><Relationship Type="http://schemas.openxmlformats.org/officeDocument/2006/relationships/worksheet" Target="/xl/worksheets/sheet6.xml" Id="R577dc3a32cef4bb0" /><Relationship Type="http://schemas.openxmlformats.org/officeDocument/2006/relationships/worksheet" Target="/xl/worksheets/sheet7.xml" Id="R3060774b314947ee" /><Relationship Type="http://schemas.openxmlformats.org/officeDocument/2006/relationships/worksheet" Target="/xl/worksheets/sheet8.xml" Id="R1a2cb30e91824b3c" /><Relationship Type="http://schemas.openxmlformats.org/officeDocument/2006/relationships/worksheet" Target="/xl/worksheets/sheet9.xml" Id="R2651c250908a449d" /><Relationship Type="http://schemas.openxmlformats.org/officeDocument/2006/relationships/worksheet" Target="/xl/worksheets/sheet10.xml" Id="R56a4aae0964f4cca" /><Relationship Type="http://schemas.microsoft.com/office/2017/10/relationships/person" Target="/xl/persons/person.xml" Id="R060ebb621b0643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8dff8b464e41e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Triletni ROI po scenarijih</a:t>
            </a:r>
          </a:p>
        </c:rich>
      </c:tx>
      <c:overlay val="0"/>
    </c:title>
    <c:plotArea>
      <c:barChart>
        <c:barDir val="col"/>
        <c:varyColors val="0"/>
        <c:ser>
          <c:idx val="0"/>
          <c:order val="0"/>
          <c:tx>
            <c:v>ROI 3 leta</c:v>
          </c:tx>
          <c:cat>
            <c:strRef>
              <c:f>'04_ROI_scenariji'!$F$5:$F$7</c:f>
              <c:strCache>
                <c:ptCount val="0"/>
              </c:strCache>
            </c:strRef>
          </c:cat>
          <c:val>
            <c:numRef>
              <c:f>'04_ROI_scenariji'!$G$5:$G$7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8</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8dff8b464e41e8"/>
        </a:graphicData>
      </a:graphic>
    </xdr:graphicFrame>
    <xdr:clientData/>
  </xdr:twoCellAnchor>
</xdr:wsDr>
</file>

<file path=xl/persons/person.xml><?xml version="1.0" encoding="utf-8"?>
<xltc:personList xmlns:xltc="http://schemas.microsoft.com/office/spreadsheetml/2018/threadedcomments">
  <xltc:person displayName="Jan Pavlič" id="{26CECA98-BC81-40E7-852F-B3654FB69961}"/>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f1bef5c05fa24c66"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16" hidden="0" customWidth="1"/>
    <x:col min="4" max="4" width="58" hidden="0" customWidth="1"/>
    <x:col min="5" max="5" width="3" hidden="0" customWidth="1"/>
    <x:col min="6" max="6" width="7" hidden="0" customWidth="1"/>
    <x:col min="7" max="7" width="22" hidden="0" customWidth="1"/>
    <x:col min="8" max="8" width="60" hidden="0" customWidth="1"/>
  </x:cols>
  <x:sheetData>
    <x:row r="1" ht="34" customHeight="1">
      <x:c r="A1" s="151" t="str">
        <x:v>Veleprodaja in distribucija — research in ROI model</x:v>
      </x:c>
      <x:c r="B1" s="120"/>
      <x:c r="C1" s="120"/>
      <x:c r="D1" s="120"/>
      <x:c r="E1" s="120"/>
      <x:c r="F1" s="120"/>
      <x:c r="G1" s="120"/>
      <x:c r="H1" s="120"/>
    </x:row>
    <x:row r="2" ht="28" customHeight="1">
      <x:c r="A2" s="121" t="str">
        <x:v>Verzija 1.0 · 7. avgust 2026 · delovni model z ilustrativnimi privzetimi vrednostmi</x:v>
      </x:c>
      <x:c r="B2" s="120"/>
      <x:c r="C2" s="120"/>
      <x:c r="D2" s="120"/>
      <x:c r="E2" s="120"/>
      <x:c r="F2" s="120"/>
      <x:c r="G2" s="120"/>
      <x:c r="H2" s="120"/>
    </x:row>
    <x:row r="3">
      <x:c r="A3" s="120"/>
      <x:c r="B3" s="120"/>
      <x:c r="C3" s="120"/>
      <x:c r="D3" s="120"/>
      <x:c r="E3" s="120"/>
      <x:c r="F3" s="120"/>
      <x:c r="G3" s="120"/>
      <x:c r="H3" s="120"/>
    </x:row>
    <x:row r="4">
      <x:c r="A4" s="122" t="str">
        <x:v>Namen delovnega zvezka</x:v>
      </x:c>
      <x:c r="B4" s="123"/>
      <x:c r="C4" s="123"/>
      <x:c r="D4" s="123"/>
      <x:c r="E4" s="123"/>
      <x:c r="F4" s="123"/>
      <x:c r="G4" s="123"/>
      <x:c r="H4" s="124"/>
    </x:row>
    <x:row r="5">
      <x:c r="A5" s="125" t="str">
        <x:v>Ta Excel pretvori raziskavo v uporabno specifikacijo za dinamični vprašalnik in finančni model. Modre vrednosti so uporabniški vnosi, črne celice so formule, zelene formule pa povezave med listi. Rezultat je potencial izboljšave, dokler niso vneseni dejanski stroški uvedbe in potrjeni podatki podjetja.</x:v>
      </x:c>
      <x:c r="B5" s="126"/>
      <x:c r="C5" s="126"/>
      <x:c r="D5" s="126"/>
      <x:c r="E5" s="126"/>
      <x:c r="F5" s="126"/>
      <x:c r="G5" s="126"/>
      <x:c r="H5" s="127"/>
    </x:row>
    <x:row r="6">
      <x:c r="A6" s="128"/>
      <x:c r="B6" s="120"/>
      <x:c r="C6" s="120"/>
      <x:c r="D6" s="120"/>
      <x:c r="E6" s="120"/>
      <x:c r="F6" s="120"/>
      <x:c r="G6" s="120"/>
      <x:c r="H6" s="129"/>
    </x:row>
    <x:row r="7">
      <x:c r="A7" s="130"/>
      <x:c r="B7" s="131"/>
      <x:c r="C7" s="131"/>
      <x:c r="D7" s="131"/>
      <x:c r="E7" s="131"/>
      <x:c r="F7" s="131"/>
      <x:c r="G7" s="131"/>
      <x:c r="H7" s="132"/>
    </x:row>
    <x:row r="8">
      <x:c r="A8" s="120"/>
      <x:c r="B8" s="120"/>
      <x:c r="C8" s="120"/>
      <x:c r="D8" s="120"/>
      <x:c r="E8" s="120"/>
      <x:c r="F8" s="120"/>
      <x:c r="G8" s="120"/>
      <x:c r="H8" s="120"/>
    </x:row>
    <x:row r="9" ht="30" customHeight="1">
      <x:c r="A9" s="133" t="str">
        <x:v>Ključni rezultat</x:v>
      </x:c>
      <x:c r="B9" s="134" t="str">
        <x:v>Najverjetnejši scenarij</x:v>
      </x:c>
      <x:c r="C9" s="134" t="str">
        <x:v>Enota</x:v>
      </x:c>
      <x:c r="D9" s="135" t="str">
        <x:v>Pomen</x:v>
      </x:c>
      <x:c r="E9" s="120"/>
      <x:c r="F9" s="122" t="str">
        <x:v>Kako uporabljati model</x:v>
      </x:c>
      <x:c r="G9" s="123"/>
      <x:c r="H9" s="124"/>
    </x:row>
    <x:row r="10">
      <x:c r="A10" s="136" t="str">
        <x:v>Letna realistična korist</x:v>
      </x:c>
      <x:c r="B10" s="137" t="n">
        <x:f>'04_ROI_scenariji'!C5</x:f>
        <x:v>130528.64800000002</x:v>
      </x:c>
      <x:c r="C10" s="136" t="str">
        <x:v>EUR/leto</x:v>
      </x:c>
      <x:c r="D10" s="136" t="str">
        <x:v>Koristi iz registra izgub z upoštevano naslovljivostjo, pokritostjo in uporabo</x:v>
      </x:c>
      <x:c r="E10" s="120"/>
      <x:c r="F10" s="138" t="str">
        <x:v>1</x:v>
      </x:c>
      <x:c r="G10" s="136" t="str">
        <x:v>01_Vhodi</x:v>
      </x:c>
      <x:c r="H10" s="136" t="str">
        <x:v>Zamenjaj ilustrativne modre vrednosti z dejanskimi podatki podjetja.</x:v>
      </x:c>
    </x:row>
    <x:row r="11">
      <x:c r="A11" s="139" t="str">
        <x:v>Enkratna sprostitev kapitala</x:v>
      </x:c>
      <x:c r="B11" s="140" t="n">
        <x:f>'04_ROI_scenariji'!C6</x:f>
        <x:v>75684.92</x:v>
      </x:c>
      <x:c r="C11" s="139" t="str">
        <x:v>EUR</x:v>
      </x:c>
      <x:c r="D11" s="139" t="str">
        <x:v>Kapital se ne šteje kot ponavljajoči letni prihranek</x:v>
      </x:c>
      <x:c r="E11" s="120"/>
      <x:c r="F11" s="141" t="str">
        <x:v>2</x:v>
      </x:c>
      <x:c r="G11" s="139" t="str">
        <x:v>02_Vprasanja</x:v>
      </x:c>
      <x:c r="H11" s="139" t="str">
        <x:v>Izberi relevantna vprašanja za poslovni model in tri najvišje triažne module.</x:v>
      </x:c>
    </x:row>
    <x:row r="12">
      <x:c r="A12" s="139" t="str">
        <x:v>Ocenjena začetna investicija</x:v>
      </x:c>
      <x:c r="B12" s="140" t="n">
        <x:f>'04_ROI_scenariji'!C9</x:f>
        <x:v>144325</x:v>
      </x:c>
      <x:c r="C12" s="139" t="str">
        <x:v>EUR</x:v>
      </x:c>
      <x:c r="D12" s="139" t="str">
        <x:v>Zunanji, interni, oprema, integracije, prehod in rezerva</x:v>
      </x:c>
      <x:c r="E12" s="120"/>
      <x:c r="F12" s="141" t="str">
        <x:v>3</x:v>
      </x:c>
      <x:c r="G12" s="139" t="str">
        <x:v>03_Register_izgub</x:v>
      </x:c>
      <x:c r="H12" s="139" t="str">
        <x:v>Dopolni količine, stroške, naslovljivost, pokritost in uporabo; odstrani nerelevantne primere.</x:v>
      </x:c>
    </x:row>
    <x:row r="13">
      <x:c r="A13" s="139" t="str">
        <x:v>Doba povračila</x:v>
      </x:c>
      <x:c r="B13" s="142" t="n">
        <x:f>'04_ROI_scenariji'!C21</x:f>
        <x:v>14.762356873639476</x:v>
      </x:c>
      <x:c r="C13" s="139" t="str">
        <x:v>mesecev</x:v>
      </x:c>
      <x:c r="D13" s="139" t="str">
        <x:v>Vključuje mesece do zagona</x:v>
      </x:c>
      <x:c r="E13" s="120"/>
      <x:c r="F13" s="141" t="str">
        <x:v>4</x:v>
      </x:c>
      <x:c r="G13" s="139" t="str">
        <x:v>04_ROI_scenariji</x:v>
      </x:c>
      <x:c r="H13" s="139" t="str">
        <x:v>Vnesi oziroma preveri stroške uvedbe ter scenarije realizacije.</x:v>
      </x:c>
    </x:row>
    <x:row r="14">
      <x:c r="A14" s="139" t="str">
        <x:v>Triletni ROI</x:v>
      </x:c>
      <x:c r="B14" s="143" t="n">
        <x:f>'04_ROI_scenariji'!C19</x:f>
        <x:v>0.7712980040541983</x:v>
      </x:c>
      <x:c r="C14" s="139" t="str">
        <x:v>%</x:v>
      </x:c>
      <x:c r="D14" s="139" t="str">
        <x:v>(3-letne koristi − 3-letni stroški) / 3-letni stroški</x:v>
      </x:c>
      <x:c r="E14" s="120"/>
      <x:c r="F14" s="144" t="str">
        <x:v>5</x:v>
      </x:c>
      <x:c r="G14" s="145" t="str">
        <x:v>08_Validacije</x:v>
      </x:c>
      <x:c r="H14" s="145" t="str">
        <x:v>Odpravi opozorila in dokumentiraj izjeme pred uporabo rezultata v prodajnem razgovoru.</x:v>
      </x:c>
    </x:row>
    <x:row r="15">
      <x:c r="A15" s="145" t="str">
        <x:v>NPV</x:v>
      </x:c>
      <x:c r="B15" s="146" t="n">
        <x:f>'04_ROI_scenariji'!C20</x:f>
        <x:v>136929.39092719607</x:v>
      </x:c>
      <x:c r="C15" s="145" t="str">
        <x:v>EUR</x:v>
      </x:c>
      <x:c r="D15" s="145" t="str">
        <x:v>Diskontirani denarni tok v treh letih</x:v>
      </x:c>
      <x:c r="E15" s="120"/>
      <x:c r="F15" s="120"/>
      <x:c r="G15" s="120"/>
      <x:c r="H15" s="120"/>
    </x:row>
    <x:row r="16">
      <x:c r="A16" s="120"/>
      <x:c r="B16" s="120"/>
      <x:c r="C16" s="120"/>
      <x:c r="D16" s="120"/>
      <x:c r="E16" s="120"/>
      <x:c r="F16" s="120"/>
      <x:c r="G16" s="120"/>
      <x:c r="H16" s="120"/>
    </x:row>
    <x:row r="17">
      <x:c r="A17" s="120"/>
      <x:c r="B17" s="120"/>
      <x:c r="C17" s="120"/>
      <x:c r="D17" s="120"/>
      <x:c r="E17" s="120"/>
      <x:c r="F17" s="120"/>
      <x:c r="G17" s="120"/>
      <x:c r="H17" s="120"/>
    </x:row>
    <x:row r="18" ht="30" customHeight="1">
      <x:c r="A18" s="133" t="str">
        <x:v>Legenda</x:v>
      </x:c>
      <x:c r="B18" s="134" t="str">
        <x:v>Videz</x:v>
      </x:c>
      <x:c r="C18" s="134" t="str">
        <x:v>Pomen</x:v>
      </x:c>
      <x:c r="D18" s="135" t="str">
        <x:v>Pravilo</x:v>
      </x:c>
      <x:c r="E18" s="120"/>
      <x:c r="F18" s="120"/>
      <x:c r="G18" s="120"/>
      <x:c r="H18" s="120"/>
    </x:row>
    <x:row r="19">
      <x:c r="A19" s="136" t="str">
        <x:v>Uporabniški vnos</x:v>
      </x:c>
      <x:c r="B19" s="147" t="str">
        <x:v>modra pisava / rumeno ozadje</x:v>
      </x:c>
      <x:c r="C19" s="136" t="str">
        <x:v>Vrednost, ki jo uporabnik ali svetovalec spremeni</x:v>
      </x:c>
      <x:c r="D19" s="136" t="str">
        <x:v>Vedno navedi izvor A–D</x:v>
      </x:c>
      <x:c r="E19" s="120"/>
      <x:c r="F19" s="120"/>
      <x:c r="G19" s="120"/>
      <x:c r="H19" s="120"/>
    </x:row>
    <x:row r="20">
      <x:c r="A20" s="139" t="str">
        <x:v>Formula</x:v>
      </x:c>
      <x:c r="B20" s="148" t="str">
        <x:v>črna pisava</x:v>
      </x:c>
      <x:c r="C20" s="139" t="str">
        <x:v>Izračun znotraj lista</x:v>
      </x:c>
      <x:c r="D20" s="139" t="str">
        <x:v>Ne prepisuj z ročno vrednostjo</x:v>
      </x:c>
      <x:c r="E20" s="120"/>
      <x:c r="F20" s="120"/>
      <x:c r="G20" s="120"/>
      <x:c r="H20" s="120"/>
    </x:row>
    <x:row r="21">
      <x:c r="A21" s="139" t="str">
        <x:v>Povezava</x:v>
      </x:c>
      <x:c r="B21" s="149" t="str">
        <x:v>zelena pisava</x:v>
      </x:c>
      <x:c r="C21" s="139" t="str">
        <x:v>Formula, ki se sklicuje na drug list</x:v>
      </x:c>
      <x:c r="D21" s="139" t="str">
        <x:v>Sledi do vira</x:v>
      </x:c>
      <x:c r="E21" s="120"/>
      <x:c r="F21" s="120"/>
      <x:c r="G21" s="120"/>
      <x:c r="H21" s="120"/>
    </x:row>
    <x:row r="22">
      <x:c r="A22" s="145" t="str">
        <x:v>Opozorilo</x:v>
      </x:c>
      <x:c r="B22" s="150" t="str">
        <x:v>rdeče ali rumeno</x:v>
      </x:c>
      <x:c r="C22" s="145" t="str">
        <x:v>Vnos zahteva pregled</x:v>
      </x:c>
      <x:c r="D22" s="145" t="str">
        <x:v>Potrdi ali popravi</x:v>
      </x:c>
      <x:c r="E22" s="120"/>
      <x:c r="F22" s="120"/>
      <x:c r="G22" s="120"/>
      <x:c r="H22" s="120"/>
    </x:row>
  </x:sheetData>
  <x:mergeCells>
    <x:mergeCell ref="A1:H1"/>
    <x:mergeCell ref="A2:H2"/>
    <x:mergeCell ref="A4:H4"/>
    <x:mergeCell ref="A5:H7"/>
    <x:mergeCell ref="F9:H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18" hidden="0" customWidth="1"/>
    <x:col min="5" max="5" width="20" hidden="0" customWidth="1"/>
    <x:col min="6" max="6" width="62" hidden="0" customWidth="1"/>
    <x:col min="7" max="7" width="3" hidden="0" customWidth="1"/>
    <x:col min="8" max="8" width="28" hidden="0" customWidth="1"/>
    <x:col min="9" max="9" width="18" hidden="0" customWidth="1"/>
    <x:col min="10" max="10" width="12" hidden="0" customWidth="1"/>
  </x:cols>
  <x:sheetData>
    <x:row r="1" ht="34" customHeight="1">
      <x:c r="A1" s="151" t="str">
        <x:v>Skupni vhodi in predpostavke</x:v>
      </x:c>
      <x:c r="B1" s="120"/>
      <x:c r="C1" s="120"/>
      <x:c r="D1" s="120"/>
      <x:c r="E1" s="120"/>
      <x:c r="F1" s="120"/>
      <x:c r="G1" s="120"/>
      <x:c r="H1" s="120"/>
      <x:c r="I1" s="120"/>
      <x:c r="J1" s="120"/>
    </x:row>
    <x:row r="2" ht="28" customHeight="1">
      <x:c r="A2" s="121" t="str">
        <x:v>Rumene celice z modro pisavo so ilustrativne in jih je treba nadomestiti z dejanskimi podatki</x:v>
      </x:c>
      <x:c r="B2" s="120"/>
      <x:c r="C2" s="120"/>
      <x:c r="D2" s="120"/>
      <x:c r="E2" s="120"/>
      <x:c r="F2" s="120"/>
      <x:c r="G2" s="120"/>
      <x:c r="H2" s="120"/>
      <x:c r="I2" s="120"/>
      <x:c r="J2" s="120"/>
    </x:row>
    <x:row r="3">
      <x:c r="A3" s="120"/>
      <x:c r="B3" s="120"/>
      <x:c r="C3" s="120"/>
      <x:c r="D3" s="120"/>
      <x:c r="E3" s="120"/>
      <x:c r="F3" s="120"/>
      <x:c r="G3" s="120"/>
      <x:c r="H3" s="120"/>
      <x:c r="I3" s="120"/>
      <x:c r="J3" s="120"/>
    </x:row>
    <x:row r="4" ht="30" customHeight="1">
      <x:c r="A4" s="133" t="str">
        <x:v>Skupina</x:v>
      </x:c>
      <x:c r="B4" s="134" t="str">
        <x:v>Vhod</x:v>
      </x:c>
      <x:c r="C4" s="134" t="str">
        <x:v>Vrednost</x:v>
      </x:c>
      <x:c r="D4" s="134" t="str">
        <x:v>Enota</x:v>
      </x:c>
      <x:c r="E4" s="134" t="str">
        <x:v>Izvor / razred</x:v>
      </x:c>
      <x:c r="F4" s="135" t="str">
        <x:v>Opomba</x:v>
      </x:c>
      <x:c r="G4" s="120"/>
      <x:c r="H4" s="133" t="str">
        <x:v>Izvedeni KPI</x:v>
      </x:c>
      <x:c r="I4" s="134" t="str">
        <x:v>Vrednost</x:v>
      </x:c>
      <x:c r="J4" s="135" t="str">
        <x:v>Enota</x:v>
      </x:c>
    </x:row>
    <x:row r="5">
      <x:c r="A5" s="136" t="str">
        <x:v>Podjetje</x:v>
      </x:c>
      <x:c r="B5" s="136" t="str">
        <x:v>Letni prihodki</x:v>
      </x:c>
      <x:c r="C5" s="152" t="n">
        <x:v>10000000</x:v>
      </x:c>
      <x:c r="D5" s="136" t="str">
        <x:v>EUR/leto</x:v>
      </x:c>
      <x:c r="E5" s="136" t="str">
        <x:v>D – ilustrativno</x:v>
      </x:c>
      <x:c r="F5" s="136" t="str">
        <x:v>Uporabi zadnjih 12 mesecev</x:v>
      </x:c>
      <x:c r="G5" s="120"/>
      <x:c r="H5" s="136" t="str">
        <x:v>Bruto marža (po COGS)</x:v>
      </x:c>
      <x:c r="I5" s="153" t="n">
        <x:f>IF(C5=0,0,(C5-C7)/C5)</x:f>
        <x:v>0.3</x:v>
      </x:c>
      <x:c r="J5" s="136" t="str">
        <x:v>%</x:v>
      </x:c>
    </x:row>
    <x:row r="6">
      <x:c r="A6" s="139" t="str">
        <x:v>Podjetje</x:v>
      </x:c>
      <x:c r="B6" s="139" t="str">
        <x:v>Letna prodaja na odloženo plačilo</x:v>
      </x:c>
      <x:c r="C6" s="154" t="n">
        <x:v>8000000</x:v>
      </x:c>
      <x:c r="D6" s="139" t="str">
        <x:v>EUR/leto</x:v>
      </x:c>
      <x:c r="E6" s="139" t="str">
        <x:v>D – ilustrativno</x:v>
      </x:c>
      <x:c r="F6" s="139" t="str">
        <x:v>Za DSO; ne uporabljaj celotnih prihodkov, če del prodaje ni kreditne</x:v>
      </x:c>
      <x:c r="G6" s="120"/>
      <x:c r="H6" s="139" t="str">
        <x:v>DIO</x:v>
      </x:c>
      <x:c r="I6" s="155" t="n">
        <x:f>IF(C7=0,0,C8/(C7/365))</x:f>
        <x:v>78.21428571428572</x:v>
      </x:c>
      <x:c r="J6" s="139" t="str">
        <x:v>dni</x:v>
      </x:c>
    </x:row>
    <x:row r="7">
      <x:c r="A7" s="139" t="str">
        <x:v>Podjetje</x:v>
      </x:c>
      <x:c r="B7" s="139" t="str">
        <x:v>COGS / nabavna vrednost prodanega blaga</x:v>
      </x:c>
      <x:c r="C7" s="154" t="n">
        <x:v>7000000</x:v>
      </x:c>
      <x:c r="D7" s="139" t="str">
        <x:v>EUR/leto</x:v>
      </x:c>
      <x:c r="E7" s="139" t="str">
        <x:v>D – ilustrativno</x:v>
      </x:c>
      <x:c r="F7" s="139" t="str">
        <x:v>Enaka vrednostna osnova kot zaloga</x:v>
      </x:c>
      <x:c r="G7" s="120"/>
      <x:c r="H7" s="139" t="str">
        <x:v>Inventory turns</x:v>
      </x:c>
      <x:c r="I7" s="155" t="n">
        <x:f>IF(C8=0,0,C7/C8)</x:f>
        <x:v>4.666666666666667</x:v>
      </x:c>
      <x:c r="J7" s="139" t="str">
        <x:v>x/leto</x:v>
      </x:c>
    </x:row>
    <x:row r="8">
      <x:c r="A8" s="139" t="str">
        <x:v>Podjetje</x:v>
      </x:c>
      <x:c r="B8" s="139" t="str">
        <x:v>12-mesečna povprečna zaloga</x:v>
      </x:c>
      <x:c r="C8" s="154" t="n">
        <x:v>1500000</x:v>
      </x:c>
      <x:c r="D8" s="139" t="str">
        <x:v>EUR</x:v>
      </x:c>
      <x:c r="E8" s="139" t="str">
        <x:v>D – ilustrativno</x:v>
      </x:c>
      <x:c r="F8" s="139" t="str">
        <x:v>Povprečje mesečnih stanj po nabavni vrednosti</x:v>
      </x:c>
      <x:c r="G8" s="120"/>
      <x:c r="H8" s="139" t="str">
        <x:v>DSO</x:v>
      </x:c>
      <x:c r="I8" s="155" t="n">
        <x:f>IF(C6=0,0,C9/C6*365)</x:f>
        <x:v>54.75</x:v>
      </x:c>
      <x:c r="J8" s="139" t="str">
        <x:v>dni</x:v>
      </x:c>
    </x:row>
    <x:row r="9">
      <x:c r="A9" s="139" t="str">
        <x:v>Podjetje</x:v>
      </x:c>
      <x:c r="B9" s="139" t="str">
        <x:v>12-mesečne povprečne terjatve</x:v>
      </x:c>
      <x:c r="C9" s="154" t="n">
        <x:v>1200000</x:v>
      </x:c>
      <x:c r="D9" s="139" t="str">
        <x:v>EUR</x:v>
      </x:c>
      <x:c r="E9" s="139" t="str">
        <x:v>D – ilustrativno</x:v>
      </x:c>
      <x:c r="F9" s="139" t="str">
        <x:v>Za izračun DSO</x:v>
      </x:c>
      <x:c r="G9" s="120"/>
      <x:c r="H9" s="139" t="str">
        <x:v>Sprostljiva zaloga</x:v>
      </x:c>
      <x:c r="I9" s="156" t="n">
        <x:f>C8*C27</x:f>
        <x:v>150000</x:v>
      </x:c>
      <x:c r="J9" s="139" t="str">
        <x:v>EUR</x:v>
      </x:c>
    </x:row>
    <x:row r="10">
      <x:c r="A10" s="139" t="str">
        <x:v>Ekonomika</x:v>
      </x:c>
      <x:c r="B10" s="139" t="str">
        <x:v>Prispevna marža</x:v>
      </x:c>
      <x:c r="C10" s="157" t="n">
        <x:v>0.25</x:v>
      </x:c>
      <x:c r="D10" s="139" t="str">
        <x:v>%</x:v>
      </x:c>
      <x:c r="E10" s="139" t="str">
        <x:v>D – ilustrativno</x:v>
      </x:c>
      <x:c r="F10" s="139" t="str">
        <x:v>Ne zamenjaj z bruto maržo, če cost-to-serve ni vključen</x:v>
      </x:c>
      <x:c r="G10" s="120"/>
      <x:c r="H10" s="145" t="str">
        <x:v>Sprostljive terjatve</x:v>
      </x:c>
      <x:c r="I10" s="158" t="n">
        <x:f>C6/365*C28</x:f>
        <x:v>109589.04109589041</x:v>
      </x:c>
      <x:c r="J10" s="145" t="str">
        <x:v>EUR</x:v>
      </x:c>
    </x:row>
    <x:row r="11">
      <x:c r="A11" s="139" t="str">
        <x:v>Ekonomika</x:v>
      </x:c>
      <x:c r="B11" s="139" t="str">
        <x:v>Mejna financirna stopnja</x:v>
      </x:c>
      <x:c r="C11" s="157" t="n">
        <x:v>0.07</x:v>
      </x:c>
      <x:c r="D11" s="139" t="str">
        <x:v>% letno</x:v>
      </x:c>
      <x:c r="E11" s="139" t="str">
        <x:v>D – ilustrativno</x:v>
      </x:c>
      <x:c r="F11" s="139" t="str">
        <x:v>Dejanska obrestna ali kapitalska stopnja</x:v>
      </x:c>
      <x:c r="G11" s="120"/>
      <x:c r="H11" s="120"/>
      <x:c r="I11" s="120"/>
      <x:c r="J11" s="120"/>
    </x:row>
    <x:row r="12">
      <x:c r="A12" s="139" t="str">
        <x:v>Ekonomika</x:v>
      </x:c>
      <x:c r="B12" s="139" t="str">
        <x:v>Polni strošek administrativne ure</x:v>
      </x:c>
      <x:c r="C12" s="159" t="n">
        <x:v>28</x:v>
      </x:c>
      <x:c r="D12" s="139" t="str">
        <x:v>EUR/uro</x:v>
      </x:c>
      <x:c r="E12" s="139" t="str">
        <x:v>D – ilustrativno</x:v>
      </x:c>
      <x:c r="F12" s="139" t="str">
        <x:v>Bruto bruto + oprema + prostor + režija</x:v>
      </x:c>
      <x:c r="G12" s="120"/>
      <x:c r="H12" s="120"/>
      <x:c r="I12" s="120"/>
      <x:c r="J12" s="120"/>
    </x:row>
    <x:row r="13">
      <x:c r="A13" s="139" t="str">
        <x:v>Ekonomika</x:v>
      </x:c>
      <x:c r="B13" s="139" t="str">
        <x:v>Polni strošek skladiščne ure</x:v>
      </x:c>
      <x:c r="C13" s="159" t="n">
        <x:v>24</x:v>
      </x:c>
      <x:c r="D13" s="139" t="str">
        <x:v>EUR/uro</x:v>
      </x:c>
      <x:c r="E13" s="139" t="str">
        <x:v>D – ilustrativno</x:v>
      </x:c>
      <x:c r="F13" s="139" t="str">
        <x:v>Uporabi polni strošek vloge</x:v>
      </x:c>
      <x:c r="G13" s="120"/>
      <x:c r="H13" s="120"/>
      <x:c r="I13" s="120"/>
      <x:c r="J13" s="120"/>
    </x:row>
    <x:row r="14">
      <x:c r="A14" s="139" t="str">
        <x:v>Ekonomika</x:v>
      </x:c>
      <x:c r="B14" s="139" t="str">
        <x:v>Polni strošek komercialne/vodstvene ure</x:v>
      </x:c>
      <x:c r="C14" s="159" t="n">
        <x:v>42</x:v>
      </x:c>
      <x:c r="D14" s="139" t="str">
        <x:v>EUR/uro</x:v>
      </x:c>
      <x:c r="E14" s="139" t="str">
        <x:v>D – ilustrativno</x:v>
      </x:c>
      <x:c r="F14" s="139" t="str">
        <x:v>Uporabi pri poročilih, cenah in odobritvah</x:v>
      </x:c>
      <x:c r="G14" s="120"/>
      <x:c r="H14" s="120"/>
      <x:c r="I14" s="120"/>
      <x:c r="J14" s="120"/>
    </x:row>
    <x:row r="15">
      <x:c r="A15" s="139" t="str">
        <x:v>ROI</x:v>
      </x:c>
      <x:c r="B15" s="139" t="str">
        <x:v>Diskontna stopnja</x:v>
      </x:c>
      <x:c r="C15" s="157" t="n">
        <x:v>0.08</x:v>
      </x:c>
      <x:c r="D15" s="139" t="str">
        <x:v>% letno</x:v>
      </x:c>
      <x:c r="E15" s="139" t="str">
        <x:v>D – ilustrativno</x:v>
      </x:c>
      <x:c r="F15" s="139" t="str">
        <x:v>Za NPV</x:v>
      </x:c>
      <x:c r="G15" s="120"/>
      <x:c r="H15" s="120"/>
      <x:c r="I15" s="120"/>
      <x:c r="J15" s="120"/>
    </x:row>
    <x:row r="16">
      <x:c r="A16" s="139" t="str">
        <x:v>ROI</x:v>
      </x:c>
      <x:c r="B16" s="139" t="str">
        <x:v>Meseci do zagona</x:v>
      </x:c>
      <x:c r="C16" s="160" t="n">
        <x:v>6</x:v>
      </x:c>
      <x:c r="D16" s="139" t="str">
        <x:v>mesecev</x:v>
      </x:c>
      <x:c r="E16" s="139" t="str">
        <x:v>D – ilustrativno</x:v>
      </x:c>
      <x:c r="F16" s="139" t="str">
        <x:v>Vključi pripravo, migracijo, testiranje in stabilizacijo</x:v>
      </x:c>
      <x:c r="G16" s="120"/>
      <x:c r="H16" s="120"/>
      <x:c r="I16" s="120"/>
      <x:c r="J16" s="120"/>
    </x:row>
    <x:row r="17">
      <x:c r="A17" s="139" t="str">
        <x:v>ROI</x:v>
      </x:c>
      <x:c r="B17" s="139" t="str">
        <x:v>Stabilna stopnja uporabe</x:v>
      </x:c>
      <x:c r="C17" s="157" t="n">
        <x:v>0.85</x:v>
      </x:c>
      <x:c r="D17" s="139" t="str">
        <x:v>%</x:v>
      </x:c>
      <x:c r="E17" s="139" t="str">
        <x:v>D – ilustrativno</x:v>
      </x:c>
      <x:c r="F17" s="139" t="str">
        <x:v>Ne zamenjaj z naslovljivostjo posamezne izgube</x:v>
      </x:c>
      <x:c r="G17" s="120"/>
      <x:c r="H17" s="120"/>
      <x:c r="I17" s="120"/>
      <x:c r="J17" s="120"/>
    </x:row>
    <x:row r="18">
      <x:c r="A18" s="139" t="str">
        <x:v>Uvedba</x:v>
      </x:c>
      <x:c r="B18" s="139" t="str">
        <x:v>Interne ure uvedbe</x:v>
      </x:c>
      <x:c r="C18" s="161" t="n">
        <x:v>300</x:v>
      </x:c>
      <x:c r="D18" s="139" t="str">
        <x:v>ure</x:v>
      </x:c>
      <x:c r="E18" s="139" t="str">
        <x:v>D – ilustrativno</x:v>
      </x:c>
      <x:c r="F18" s="139" t="str">
        <x:v>Procesni lastniki, podatki, testiranje, superuporabniki</x:v>
      </x:c>
      <x:c r="G18" s="120"/>
      <x:c r="H18" s="120"/>
      <x:c r="I18" s="120"/>
      <x:c r="J18" s="120"/>
    </x:row>
    <x:row r="19">
      <x:c r="A19" s="139" t="str">
        <x:v>Uvedba</x:v>
      </x:c>
      <x:c r="B19" s="139" t="str">
        <x:v>Polni strošek interne ure uvedbe</x:v>
      </x:c>
      <x:c r="C19" s="154" t="n">
        <x:v>35</x:v>
      </x:c>
      <x:c r="D19" s="139" t="str">
        <x:v>EUR/uro</x:v>
      </x:c>
      <x:c r="E19" s="139" t="str">
        <x:v>D – ilustrativno</x:v>
      </x:c>
      <x:c r="F19" s="139" t="str">
        <x:v>Tehtano povprečje sodelujočih vlog</x:v>
      </x:c>
      <x:c r="G19" s="120"/>
      <x:c r="H19" s="120"/>
      <x:c r="I19" s="120"/>
      <x:c r="J19" s="120"/>
    </x:row>
    <x:row r="20">
      <x:c r="A20" s="139" t="str">
        <x:v>Uvedba</x:v>
      </x:c>
      <x:c r="B20" s="139" t="str">
        <x:v>Zunanja implementacija in konfiguracija</x:v>
      </x:c>
      <x:c r="C20" s="154" t="n">
        <x:v>50000</x:v>
      </x:c>
      <x:c r="D20" s="139" t="str">
        <x:v>EUR enkratno</x:v>
      </x:c>
      <x:c r="E20" s="139" t="str">
        <x:v>D – ilustrativno</x:v>
      </x:c>
      <x:c r="F20" s="139" t="str">
        <x:v>Brez opreme in interne ekipe</x:v>
      </x:c>
      <x:c r="G20" s="120"/>
      <x:c r="H20" s="120"/>
      <x:c r="I20" s="120"/>
      <x:c r="J20" s="120"/>
    </x:row>
    <x:row r="21">
      <x:c r="A21" s="139" t="str">
        <x:v>Uvedba</x:v>
      </x:c>
      <x:c r="B21" s="139" t="str">
        <x:v>Oprema</x:v>
      </x:c>
      <x:c r="C21" s="154" t="n">
        <x:v>15000</x:v>
      </x:c>
      <x:c r="D21" s="139" t="str">
        <x:v>EUR enkratno</x:v>
      </x:c>
      <x:c r="E21" s="139" t="str">
        <x:v>D – ilustrativno</x:v>
      </x:c>
      <x:c r="F21" s="139" t="str">
        <x:v>Terminali, čitalci, tiskalniki, Wi-Fi</x:v>
      </x:c>
      <x:c r="G21" s="120"/>
      <x:c r="H21" s="120"/>
      <x:c r="I21" s="120"/>
      <x:c r="J21" s="120"/>
    </x:row>
    <x:row r="22">
      <x:c r="A22" s="139" t="str">
        <x:v>Uvedba</x:v>
      </x:c>
      <x:c r="B22" s="139" t="str">
        <x:v>Integracije in migracija</x:v>
      </x:c>
      <x:c r="C22" s="154" t="n">
        <x:v>30000</x:v>
      </x:c>
      <x:c r="D22" s="139" t="str">
        <x:v>EUR enkratno</x:v>
      </x:c>
      <x:c r="E22" s="139" t="str">
        <x:v>D – ilustrativno</x:v>
      </x:c>
      <x:c r="F22" s="139" t="str">
        <x:v>API, čiščenje in prenos podatkov</x:v>
      </x:c>
      <x:c r="G22" s="120"/>
      <x:c r="H22" s="120"/>
      <x:c r="I22" s="120"/>
      <x:c r="J22" s="120"/>
    </x:row>
    <x:row r="23">
      <x:c r="A23" s="139" t="str">
        <x:v>Uvedba</x:v>
      </x:c>
      <x:c r="B23" s="139" t="str">
        <x:v>Izobraževanje</x:v>
      </x:c>
      <x:c r="C23" s="154" t="n">
        <x:v>10000</x:v>
      </x:c>
      <x:c r="D23" s="139" t="str">
        <x:v>EUR enkratno</x:v>
      </x:c>
      <x:c r="E23" s="139" t="str">
        <x:v>D – ilustrativno</x:v>
      </x:c>
      <x:c r="F23" s="139" t="str">
        <x:v>Zunanji in neposredni stroški</x:v>
      </x:c>
      <x:c r="G23" s="120"/>
      <x:c r="H23" s="120"/>
      <x:c r="I23" s="120"/>
      <x:c r="J23" s="120"/>
    </x:row>
    <x:row r="24">
      <x:c r="A24" s="139" t="str">
        <x:v>Uvedba</x:v>
      </x:c>
      <x:c r="B24" s="139" t="str">
        <x:v>Tveganjska rezerva</x:v>
      </x:c>
      <x:c r="C24" s="157" t="n">
        <x:v>0.15</x:v>
      </x:c>
      <x:c r="D24" s="139" t="str">
        <x:v>% investicije</x:v>
      </x:c>
      <x:c r="E24" s="139" t="str">
        <x:v>D – ilustrativno</x:v>
      </x:c>
      <x:c r="F24" s="139" t="str">
        <x:v>Glede na neznanke in kompleksnost</x:v>
      </x:c>
      <x:c r="G24" s="120"/>
      <x:c r="H24" s="120"/>
      <x:c r="I24" s="120"/>
      <x:c r="J24" s="120"/>
    </x:row>
    <x:row r="25">
      <x:c r="A25" s="139" t="str">
        <x:v>Uvedba</x:v>
      </x:c>
      <x:c r="B25" s="139" t="str">
        <x:v>Letne licence, gostovanje in podpora</x:v>
      </x:c>
      <x:c r="C25" s="154" t="n">
        <x:v>30000</x:v>
      </x:c>
      <x:c r="D25" s="139" t="str">
        <x:v>EUR/leto</x:v>
      </x:c>
      <x:c r="E25" s="139" t="str">
        <x:v>D – ilustrativno</x:v>
      </x:c>
      <x:c r="F25" s="139" t="str">
        <x:v>Tekoči strošek</x:v>
      </x:c>
      <x:c r="G25" s="120"/>
      <x:c r="H25" s="120"/>
      <x:c r="I25" s="120"/>
      <x:c r="J25" s="120"/>
    </x:row>
    <x:row r="26">
      <x:c r="A26" s="139" t="str">
        <x:v>Uvedba</x:v>
      </x:c>
      <x:c r="B26" s="139" t="str">
        <x:v>Prehodni stroški</x:v>
      </x:c>
      <x:c r="C26" s="154" t="n">
        <x:v>10000</x:v>
      </x:c>
      <x:c r="D26" s="139" t="str">
        <x:v>EUR enkratno</x:v>
      </x:c>
      <x:c r="E26" s="139" t="str">
        <x:v>D – ilustrativno</x:v>
      </x:c>
      <x:c r="F26" s="139" t="str">
        <x:v>Dvojno delo, začasna pomoč, padec produktivnosti</x:v>
      </x:c>
      <x:c r="G26" s="120"/>
      <x:c r="H26" s="120"/>
      <x:c r="I26" s="120"/>
      <x:c r="J26" s="120"/>
    </x:row>
    <x:row r="27">
      <x:c r="A27" s="139" t="str">
        <x:v>Zaloga</x:v>
      </x:c>
      <x:c r="B27" s="139" t="str">
        <x:v>Dosegljiva sprostitev zaloge</x:v>
      </x:c>
      <x:c r="C27" s="157" t="n">
        <x:v>0.1</x:v>
      </x:c>
      <x:c r="D27" s="139" t="str">
        <x:v>% povprečne zaloge</x:v>
      </x:c>
      <x:c r="E27" s="139" t="str">
        <x:v>D – ilustrativno</x:v>
      </x:c>
      <x:c r="F27" s="139" t="str">
        <x:v>Razpon določi po aged stock in ciljni zalogi</x:v>
      </x:c>
      <x:c r="G27" s="120"/>
      <x:c r="H27" s="120"/>
      <x:c r="I27" s="120"/>
      <x:c r="J27" s="120"/>
    </x:row>
    <x:row r="28">
      <x:c r="A28" s="139" t="str">
        <x:v>Terjatve</x:v>
      </x:c>
      <x:c r="B28" s="139" t="str">
        <x:v>Dosegljivo znižanje DSO</x:v>
      </x:c>
      <x:c r="C28" s="162" t="n">
        <x:v>5</x:v>
      </x:c>
      <x:c r="D28" s="139" t="str">
        <x:v>dni</x:v>
      </x:c>
      <x:c r="E28" s="139" t="str">
        <x:v>D – ilustrativno</x:v>
      </x:c>
      <x:c r="F28" s="139" t="str">
        <x:v>Samo procesno naslovljiv del</x:v>
      </x:c>
      <x:c r="G28" s="120"/>
      <x:c r="H28" s="120"/>
      <x:c r="I28" s="120"/>
      <x:c r="J28" s="120"/>
    </x:row>
    <x:row r="29">
      <x:c r="A29" s="139" t="str">
        <x:v>Kapaciteta</x:v>
      </x:c>
      <x:c r="B29" s="139" t="str">
        <x:v>Skladiščni FTE</x:v>
      </x:c>
      <x:c r="C29" s="162" t="n">
        <x:v>12</x:v>
      </x:c>
      <x:c r="D29" s="139" t="str">
        <x:v>FTE</x:v>
      </x:c>
      <x:c r="E29" s="139" t="str">
        <x:v>D – ilustrativno</x:v>
      </x:c>
      <x:c r="F29" s="139" t="str">
        <x:v>Za preverjanje razpoložljivih ur</x:v>
      </x:c>
      <x:c r="G29" s="120"/>
      <x:c r="H29" s="120"/>
      <x:c r="I29" s="120"/>
      <x:c r="J29" s="120"/>
    </x:row>
    <x:row r="30">
      <x:c r="A30" s="139" t="str">
        <x:v>Kapaciteta</x:v>
      </x:c>
      <x:c r="B30" s="139" t="str">
        <x:v>Administrativni in finančni FTE</x:v>
      </x:c>
      <x:c r="C30" s="162" t="n">
        <x:v>5</x:v>
      </x:c>
      <x:c r="D30" s="139" t="str">
        <x:v>FTE</x:v>
      </x:c>
      <x:c r="E30" s="139" t="str">
        <x:v>D – ilustrativno</x:v>
      </x:c>
      <x:c r="F30" s="139" t="str">
        <x:v>Za preverjanje ur</x:v>
      </x:c>
      <x:c r="G30" s="120"/>
      <x:c r="H30" s="120"/>
      <x:c r="I30" s="120"/>
      <x:c r="J30" s="120"/>
    </x:row>
    <x:row r="31">
      <x:c r="A31" s="145" t="str">
        <x:v>Kapaciteta</x:v>
      </x:c>
      <x:c r="B31" s="145" t="str">
        <x:v>Komercialni FTE</x:v>
      </x:c>
      <x:c r="C31" s="163" t="n">
        <x:v>8</x:v>
      </x:c>
      <x:c r="D31" s="145" t="str">
        <x:v>FTE</x:v>
      </x:c>
      <x:c r="E31" s="145" t="str">
        <x:v>D – ilustrativno</x:v>
      </x:c>
      <x:c r="F31" s="145" t="str">
        <x:v>Za preverjanje ur</x:v>
      </x:c>
      <x:c r="G31" s="120"/>
      <x:c r="H31" s="120"/>
      <x:c r="I31" s="120"/>
      <x:c r="J31" s="120"/>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66" hidden="0" customWidth="1"/>
    <x:col min="4" max="4" width="25" hidden="0" customWidth="1"/>
    <x:col min="5" max="5" width="34" hidden="0" customWidth="1"/>
    <x:col min="6" max="6" width="20" hidden="0" customWidth="1"/>
    <x:col min="7" max="7" width="16" hidden="0" customWidth="1"/>
    <x:col min="8" max="8" width="46" hidden="0" customWidth="1"/>
  </x:cols>
  <x:sheetData>
    <x:row r="1" ht="34" customHeight="1">
      <x:c r="A1" s="151" t="str">
        <x:v>Banka vprašanj za dinamični vprašalnik (122 postavk)</x:v>
      </x:c>
      <x:c r="B1" s="120"/>
      <x:c r="C1" s="120"/>
      <x:c r="D1" s="120"/>
      <x:c r="E1" s="120"/>
      <x:c r="F1" s="120"/>
      <x:c r="G1" s="120"/>
      <x:c r="H1" s="120"/>
    </x:row>
    <x:row r="2" ht="28" customHeight="1">
      <x:c r="A2" s="121" t="str">
        <x:v>Vsa vprašanja niso namenjena vsem uporabnikom; prikaz se prilagodi poslovnemu modelu, triaži in predhodnim odgovorom</x:v>
      </x:c>
      <x:c r="B2" s="120"/>
      <x:c r="C2" s="120"/>
      <x:c r="D2" s="120"/>
      <x:c r="E2" s="120"/>
      <x:c r="F2" s="120"/>
      <x:c r="G2" s="120"/>
      <x:c r="H2" s="120"/>
    </x:row>
    <x:row r="3">
      <x:c r="A3" s="120"/>
      <x:c r="B3" s="120"/>
      <x:c r="C3" s="120"/>
      <x:c r="D3" s="120"/>
      <x:c r="E3" s="120"/>
      <x:c r="F3" s="120"/>
      <x:c r="G3" s="120"/>
      <x:c r="H3" s="120"/>
    </x:row>
    <x:row r="4" ht="30" customHeight="1">
      <x:c r="A4" s="133" t="str">
        <x:v>ID</x:v>
      </x:c>
      <x:c r="B4" s="134" t="str">
        <x:v>Modul</x:v>
      </x:c>
      <x:c r="C4" s="134" t="str">
        <x:v>Vprašanje / podatek</x:v>
      </x:c>
      <x:c r="D4" s="134" t="str">
        <x:v>Tip odgovora</x:v>
      </x:c>
      <x:c r="E4" s="134" t="str">
        <x:v>Namen v modelu</x:v>
      </x:c>
      <x:c r="F4" s="134" t="str">
        <x:v>Način</x:v>
      </x:c>
      <x:c r="G4" s="134" t="str">
        <x:v>Obveznost</x:v>
      </x:c>
      <x:c r="H4" s="135" t="str">
        <x:v>Implementacijska opomba</x:v>
      </x:c>
    </x:row>
    <x:row r="5">
      <x:c r="A5" s="138" t="str">
        <x:v>Q-001</x:v>
      </x:c>
      <x:c r="B5" s="136" t="str">
        <x:v>Prodajna naročila, ponudbe, cene in rabati</x:v>
      </x:c>
      <x:c r="C5" s="136" t="str">
        <x:v>Koliko prodajnih naročil in vrstic prejmete v tipičnem mesecu?</x:v>
      </x:c>
      <x:c r="D5" s="136" t="str">
        <x:v>število</x:v>
      </x:c>
      <x:c r="E5" s="136" t="str">
        <x:v>imenovalec obsega</x:v>
      </x:c>
      <x:c r="F5" s="164" t="str">
        <x:v>razširjeni</x:v>
      </x:c>
      <x:c r="G5" s="164" t="str">
        <x:v>priporočeno</x:v>
      </x:c>
      <x:c r="H5" s="136" t="str">
        <x:v>Prikaži le, če je modul izbran ali ga sproži poslovni profil</x:v>
      </x:c>
    </x:row>
    <x:row r="6">
      <x:c r="A6" s="141" t="str">
        <x:v>Q-002</x:v>
      </x:c>
      <x:c r="B6" s="139" t="str">
        <x:v>Prodajna naročila, ponudbe, cene in rabati</x:v>
      </x:c>
      <x:c r="C6" s="139" t="str">
        <x:v>Kakšen delež vrstic pride po telefonu, e-pošti, PDF, EDI, portalu, API in spletni trgovini?</x:v>
      </x:c>
      <x:c r="D6" s="139" t="str">
        <x:v>porazdelitev %</x:v>
      </x:c>
      <x:c r="E6" s="139" t="str">
        <x:v>digitalni in ročni delež</x:v>
      </x:c>
      <x:c r="F6" s="165" t="str">
        <x:v>razširjeni</x:v>
      </x:c>
      <x:c r="G6" s="165" t="str">
        <x:v>pogojno</x:v>
      </x:c>
      <x:c r="H6" s="139" t="str">
        <x:v>Prikaži le, če je modul izbran ali ga sproži poslovni profil</x:v>
      </x:c>
    </x:row>
    <x:row r="7">
      <x:c r="A7" s="141" t="str">
        <x:v>Q-003</x:v>
      </x:c>
      <x:c r="B7" s="139" t="str">
        <x:v>Prodajna naročila, ponudbe, cene in rabati</x:v>
      </x:c>
      <x:c r="C7" s="139" t="str">
        <x:v>Koliko minut neposrednega dela zahteva tipično naročilo po kanalu?</x:v>
      </x:c>
      <x:c r="D7" s="139" t="str">
        <x:v>minute/kanal</x:v>
      </x:c>
      <x:c r="E7" s="139" t="str">
        <x:v>strošek vnosa</x:v>
      </x:c>
      <x:c r="F7" s="165" t="str">
        <x:v>razširjeni</x:v>
      </x:c>
      <x:c r="G7" s="165" t="str">
        <x:v>pogojno</x:v>
      </x:c>
      <x:c r="H7" s="139" t="str">
        <x:v>Prikaži le, če je modul izbran ali ga sproži poslovni profil</x:v>
      </x:c>
    </x:row>
    <x:row r="8">
      <x:c r="A8" s="141" t="str">
        <x:v>Q-004</x:v>
      </x:c>
      <x:c r="B8" s="139" t="str">
        <x:v>Prodajna naročila, ponudbe, cene in rabati</x:v>
      </x:c>
      <x:c r="C8" s="139" t="str">
        <x:v>Koliko vrstic je mogoče uvoziti brez ročne korekcije?</x:v>
      </x:c>
      <x:c r="D8" s="139" t="str">
        <x:v>%</x:v>
      </x:c>
      <x:c r="E8" s="139" t="str">
        <x:v>dejanska avtomatizacija</x:v>
      </x:c>
      <x:c r="F8" s="165" t="str">
        <x:v>razširjeni</x:v>
      </x:c>
      <x:c r="G8" s="165" t="str">
        <x:v>pogojno</x:v>
      </x:c>
      <x:c r="H8" s="139" t="str">
        <x:v>Prikaži le, če je modul izbran ali ga sproži poslovni profil</x:v>
      </x:c>
    </x:row>
    <x:row r="9">
      <x:c r="A9" s="141" t="str">
        <x:v>Q-005</x:v>
      </x:c>
      <x:c r="B9" s="139" t="str">
        <x:v>Prodajna naročila, ponudbe, cene in rabati</x:v>
      </x:c>
      <x:c r="C9" s="139" t="str">
        <x:v>Koliko naročil se po prvem vnosu spremeni?</x:v>
      </x:c>
      <x:c r="D9" s="139" t="str">
        <x:v>%</x:v>
      </x:c>
      <x:c r="E9" s="139" t="str">
        <x:v>spremembe in ponovno delo</x:v>
      </x:c>
      <x:c r="F9" s="165" t="str">
        <x:v>razširjeni</x:v>
      </x:c>
      <x:c r="G9" s="165" t="str">
        <x:v>pogojno</x:v>
      </x:c>
      <x:c r="H9" s="139" t="str">
        <x:v>Prikaži le, če je modul izbran ali ga sproži poslovni profil</x:v>
      </x:c>
    </x:row>
    <x:row r="10">
      <x:c r="A10" s="141" t="str">
        <x:v>Q-006</x:v>
      </x:c>
      <x:c r="B10" s="139" t="str">
        <x:v>Prodajna naročila, ponudbe, cene in rabati</x:v>
      </x:c>
      <x:c r="C10" s="139" t="str">
        <x:v>Koliko ur mesečno gre za prepis istih podatkov med sistemi?</x:v>
      </x:c>
      <x:c r="D10" s="139" t="str">
        <x:v>ure</x:v>
      </x:c>
      <x:c r="E10" s="139" t="str">
        <x:v>podvojena kapaciteta</x:v>
      </x:c>
      <x:c r="F10" s="165" t="str">
        <x:v>razširjeni</x:v>
      </x:c>
      <x:c r="G10" s="165" t="str">
        <x:v>pogojno</x:v>
      </x:c>
      <x:c r="H10" s="139" t="str">
        <x:v>Prikaži le, če je modul izbran ali ga sproži poslovni profil</x:v>
      </x:c>
    </x:row>
    <x:row r="11">
      <x:c r="A11" s="141" t="str">
        <x:v>Q-007</x:v>
      </x:c>
      <x:c r="B11" s="139" t="str">
        <x:v>Prodajna naročila, ponudbe, cene in rabati</x:v>
      </x:c>
      <x:c r="C11" s="139" t="str">
        <x:v>Koliko aktivnih cenikov in rabatnih shem vzdržujete?</x:v>
      </x:c>
      <x:c r="D11" s="139" t="str">
        <x:v>število</x:v>
      </x:c>
      <x:c r="E11" s="139" t="str">
        <x:v>kompleksnost cen</x:v>
      </x:c>
      <x:c r="F11" s="165" t="str">
        <x:v>razširjeni</x:v>
      </x:c>
      <x:c r="G11" s="165" t="str">
        <x:v>pogojno</x:v>
      </x:c>
      <x:c r="H11" s="139" t="str">
        <x:v>Prikaži le, če je modul izbran ali ga sproži poslovni profil</x:v>
      </x:c>
    </x:row>
    <x:row r="12">
      <x:c r="A12" s="141" t="str">
        <x:v>Q-008</x:v>
      </x:c>
      <x:c r="B12" s="139" t="str">
        <x:v>Prodajna naročila, ponudbe, cene in rabati</x:v>
      </x:c>
      <x:c r="C12" s="139" t="str">
        <x:v>Koliko cenovnih izjem zahteva ročno odobritev?</x:v>
      </x:c>
      <x:c r="D12" s="139" t="str">
        <x:v>dogodki/mesec</x:v>
      </x:c>
      <x:c r="E12" s="139" t="str">
        <x:v>čas odobritev</x:v>
      </x:c>
      <x:c r="F12" s="165" t="str">
        <x:v>razširjeni</x:v>
      </x:c>
      <x:c r="G12" s="165" t="str">
        <x:v>pogojno</x:v>
      </x:c>
      <x:c r="H12" s="139" t="str">
        <x:v>Prikaži le, če je modul izbran ali ga sproži poslovni profil</x:v>
      </x:c>
    </x:row>
    <x:row r="13">
      <x:c r="A13" s="141" t="str">
        <x:v>Q-009</x:v>
      </x:c>
      <x:c r="B13" s="139" t="str">
        <x:v>Prodajna naročila, ponudbe, cene in rabati</x:v>
      </x:c>
      <x:c r="C13" s="139" t="str">
        <x:v>Koliko cenovnih napak je odkritih pred potrditvijo, po potrditvi in po računu?</x:v>
      </x:c>
      <x:c r="D13" s="139" t="str">
        <x:v>3 števila</x:v>
      </x:c>
      <x:c r="E13" s="139" t="str">
        <x:v>ločitev časa od izgube</x:v>
      </x:c>
      <x:c r="F13" s="165" t="str">
        <x:v>razširjeni</x:v>
      </x:c>
      <x:c r="G13" s="165" t="str">
        <x:v>pogojno</x:v>
      </x:c>
      <x:c r="H13" s="139" t="str">
        <x:v>Prikaži le, če je modul izbran ali ga sproži poslovni profil</x:v>
      </x:c>
    </x:row>
    <x:row r="14">
      <x:c r="A14" s="141" t="str">
        <x:v>Q-010</x:v>
      </x:c>
      <x:c r="B14" s="139" t="str">
        <x:v>Prodajna naročila, ponudbe, cene in rabati</x:v>
      </x:c>
      <x:c r="C14" s="139" t="str">
        <x:v>Kakšna je povprečna neto izguba marže pri prepozno odkriti napaki?</x:v>
      </x:c>
      <x:c r="D14" s="139" t="str">
        <x:v>EUR/dogodek ali izpeljava</x:v>
      </x:c>
      <x:c r="E14" s="139" t="str">
        <x:v>neposredna izguba</x:v>
      </x:c>
      <x:c r="F14" s="165" t="str">
        <x:v>razširjeni</x:v>
      </x:c>
      <x:c r="G14" s="165" t="str">
        <x:v>pogojno</x:v>
      </x:c>
      <x:c r="H14" s="139" t="str">
        <x:v>Prikaži le, če je modul izbran ali ga sproži poslovni profil</x:v>
      </x:c>
    </x:row>
    <x:row r="15">
      <x:c r="A15" s="141" t="str">
        <x:v>Q-011</x:v>
      </x:c>
      <x:c r="B15" s="139" t="str">
        <x:v>Prodajna naročila, ponudbe, cene in rabati</x:v>
      </x:c>
      <x:c r="C15" s="139" t="str">
        <x:v>Ali sistem preverja pogodbeno ceno, kreditni limit, zalogo in dobavni datum?</x:v>
      </x:c>
      <x:c r="D15" s="139" t="str">
        <x:v>več izbir</x:v>
      </x:c>
      <x:c r="E15" s="139" t="str">
        <x:v>procesna zrelost</x:v>
      </x:c>
      <x:c r="F15" s="165" t="str">
        <x:v>razširjeni</x:v>
      </x:c>
      <x:c r="G15" s="165" t="str">
        <x:v>pogojno</x:v>
      </x:c>
      <x:c r="H15" s="139" t="str">
        <x:v>Prikaži le, če je modul izbran ali ga sproži poslovni profil</x:v>
      </x:c>
    </x:row>
    <x:row r="16">
      <x:c r="A16" s="141" t="str">
        <x:v>Q-012</x:v>
      </x:c>
      <x:c r="B16" s="139" t="str">
        <x:v>Prodajna naročila, ponudbe, cene in rabati</x:v>
      </x:c>
      <x:c r="C16" s="139" t="str">
        <x:v>Koliko ponudb ostane brez jasnega statusa ali razloga izgube?</x:v>
      </x:c>
      <x:c r="D16" s="139" t="str">
        <x:v>%</x:v>
      </x:c>
      <x:c r="E16" s="139" t="str">
        <x:v>kakovost pipeline podatkov</x:v>
      </x:c>
      <x:c r="F16" s="165" t="str">
        <x:v>razširjeni</x:v>
      </x:c>
      <x:c r="G16" s="165" t="str">
        <x:v>pogojno</x:v>
      </x:c>
      <x:c r="H16" s="139" t="str">
        <x:v>Prikaži le, če je modul izbran ali ga sproži poslovni profil</x:v>
      </x:c>
    </x:row>
    <x:row r="17">
      <x:c r="A17" s="141" t="str">
        <x:v>Q-013</x:v>
      </x:c>
      <x:c r="B17" s="139" t="str">
        <x:v>Nabava, dobavitelji in uvoz</x:v>
      </x:c>
      <x:c r="C17" s="139" t="str">
        <x:v>Koliko nabavnih naročil in vrstic pripravite mesečno?</x:v>
      </x:c>
      <x:c r="D17" s="139" t="str">
        <x:v>število</x:v>
      </x:c>
      <x:c r="E17" s="139" t="str">
        <x:v>obseg nabave</x:v>
      </x:c>
      <x:c r="F17" s="165" t="str">
        <x:v>razširjeni</x:v>
      </x:c>
      <x:c r="G17" s="165" t="str">
        <x:v>priporočeno</x:v>
      </x:c>
      <x:c r="H17" s="139" t="str">
        <x:v>Prikaži le, če je modul izbran ali ga sproži poslovni profil</x:v>
      </x:c>
    </x:row>
    <x:row r="18">
      <x:c r="A18" s="141" t="str">
        <x:v>Q-014</x:v>
      </x:c>
      <x:c r="B18" s="139" t="str">
        <x:v>Nabava, dobavitelji in uvoz</x:v>
      </x:c>
      <x:c r="C18" s="139" t="str">
        <x:v>Kolikšen delež predloga nastane avtomatsko in koliko ročno?</x:v>
      </x:c>
      <x:c r="D18" s="139" t="str">
        <x:v>%</x:v>
      </x:c>
      <x:c r="E18" s="139" t="str">
        <x:v>potencial avtomatizacije</x:v>
      </x:c>
      <x:c r="F18" s="165" t="str">
        <x:v>razširjeni</x:v>
      </x:c>
      <x:c r="G18" s="165" t="str">
        <x:v>pogojno</x:v>
      </x:c>
      <x:c r="H18" s="139" t="str">
        <x:v>Prikaži le, če je modul izbran ali ga sproži poslovni profil</x:v>
      </x:c>
    </x:row>
    <x:row r="19">
      <x:c r="A19" s="141" t="str">
        <x:v>Q-015</x:v>
      </x:c>
      <x:c r="B19" s="139" t="str">
        <x:v>Nabava, dobavitelji in uvoz</x:v>
      </x:c>
      <x:c r="C19" s="139" t="str">
        <x:v>Koliko ur gre za pregled potreb, usklajevanje in odobritve?</x:v>
      </x:c>
      <x:c r="D19" s="139" t="str">
        <x:v>ure/mesec</x:v>
      </x:c>
      <x:c r="E19" s="139" t="str">
        <x:v>kapaciteta</x:v>
      </x:c>
      <x:c r="F19" s="165" t="str">
        <x:v>razširjeni</x:v>
      </x:c>
      <x:c r="G19" s="165" t="str">
        <x:v>pogojno</x:v>
      </x:c>
      <x:c r="H19" s="139" t="str">
        <x:v>Prikaži le, če je modul izbran ali ga sproži poslovni profil</x:v>
      </x:c>
    </x:row>
    <x:row r="20">
      <x:c r="A20" s="141" t="str">
        <x:v>Q-016</x:v>
      </x:c>
      <x:c r="B20" s="139" t="str">
        <x:v>Nabava, dobavitelji in uvoz</x:v>
      </x:c>
      <x:c r="C20" s="139" t="str">
        <x:v>Kolikšen delež dobav prispe na prvotno potrjeni datum?</x:v>
      </x:c>
      <x:c r="D20" s="139" t="str">
        <x:v>%</x:v>
      </x:c>
      <x:c r="E20" s="139" t="str">
        <x:v>OTD</x:v>
      </x:c>
      <x:c r="F20" s="165" t="str">
        <x:v>razširjeni</x:v>
      </x:c>
      <x:c r="G20" s="165" t="str">
        <x:v>pogojno</x:v>
      </x:c>
      <x:c r="H20" s="139" t="str">
        <x:v>Prikaži le, če je modul izbran ali ga sproži poslovni profil</x:v>
      </x:c>
    </x:row>
    <x:row r="21">
      <x:c r="A21" s="141" t="str">
        <x:v>Q-017</x:v>
      </x:c>
      <x:c r="B21" s="139" t="str">
        <x:v>Nabava, dobavitelji in uvoz</x:v>
      </x:c>
      <x:c r="C21" s="139" t="str">
        <x:v>Kolikšen delež dobav je hkrati pravočasen in popoln?</x:v>
      </x:c>
      <x:c r="D21" s="139" t="str">
        <x:v>%</x:v>
      </x:c>
      <x:c r="E21" s="139" t="str">
        <x:v>supplier OTIF</x:v>
      </x:c>
      <x:c r="F21" s="165" t="str">
        <x:v>razširjeni</x:v>
      </x:c>
      <x:c r="G21" s="165" t="str">
        <x:v>pogojno</x:v>
      </x:c>
      <x:c r="H21" s="139" t="str">
        <x:v>Prikaži le, če je modul izbran ali ga sproži poslovni profil</x:v>
      </x:c>
    </x:row>
    <x:row r="22">
      <x:c r="A22" s="141" t="str">
        <x:v>Q-018</x:v>
      </x:c>
      <x:c r="B22" s="139" t="str">
        <x:v>Nabava, dobavitelji in uvoz</x:v>
      </x:c>
      <x:c r="C22" s="139" t="str">
        <x:v>Koliko dobav ima količinsko, cenovno, kakovostno ali dokumentno razliko?</x:v>
      </x:c>
      <x:c r="D22" s="139" t="str">
        <x:v>dogodki po razlogu</x:v>
      </x:c>
      <x:c r="E22" s="139" t="str">
        <x:v>stroški izjem</x:v>
      </x:c>
      <x:c r="F22" s="165" t="str">
        <x:v>razširjeni</x:v>
      </x:c>
      <x:c r="G22" s="165" t="str">
        <x:v>pogojno</x:v>
      </x:c>
      <x:c r="H22" s="139" t="str">
        <x:v>Prikaži le, če je modul izbran ali ga sproži poslovni profil</x:v>
      </x:c>
    </x:row>
    <x:row r="23">
      <x:c r="A23" s="141" t="str">
        <x:v>Q-019</x:v>
      </x:c>
      <x:c r="B23" s="139" t="str">
        <x:v>Nabava, dobavitelji in uvoz</x:v>
      </x:c>
      <x:c r="C23" s="139" t="str">
        <x:v>Koliko nujnih nabav nastane in zakaj?</x:v>
      </x:c>
      <x:c r="D23" s="139" t="str">
        <x:v>dogodki + razlog</x:v>
      </x:c>
      <x:c r="E23" s="139" t="str">
        <x:v>naslovljivost</x:v>
      </x:c>
      <x:c r="F23" s="165" t="str">
        <x:v>razširjeni</x:v>
      </x:c>
      <x:c r="G23" s="165" t="str">
        <x:v>pogojno</x:v>
      </x:c>
      <x:c r="H23" s="139" t="str">
        <x:v>Prikaži le, če je modul izbran ali ga sproži poslovni profil</x:v>
      </x:c>
    </x:row>
    <x:row r="24">
      <x:c r="A24" s="141" t="str">
        <x:v>Q-020</x:v>
      </x:c>
      <x:c r="B24" s="139" t="str">
        <x:v>Nabava, dobavitelji in uvoz</x:v>
      </x:c>
      <x:c r="C24" s="139" t="str">
        <x:v>Kolikšna sta dodatni prevoz in cenovna premija nujne nabave?</x:v>
      </x:c>
      <x:c r="D24" s="139" t="str">
        <x:v>EUR/dogodek</x:v>
      </x:c>
      <x:c r="E24" s="139" t="str">
        <x:v>neposredni strošek</x:v>
      </x:c>
      <x:c r="F24" s="165" t="str">
        <x:v>razširjeni</x:v>
      </x:c>
      <x:c r="G24" s="165" t="str">
        <x:v>pogojno</x:v>
      </x:c>
      <x:c r="H24" s="139" t="str">
        <x:v>Prikaži le, če je modul izbran ali ga sproži poslovni profil</x:v>
      </x:c>
    </x:row>
    <x:row r="25">
      <x:c r="A25" s="141" t="str">
        <x:v>Q-021</x:v>
      </x:c>
      <x:c r="B25" s="139" t="str">
        <x:v>Nabava, dobavitelji in uvoz</x:v>
      </x:c>
      <x:c r="C25" s="139" t="str">
        <x:v>Koliko skontov, bonusov ali rabatov ni bilo izkoriščenih?</x:v>
      </x:c>
      <x:c r="D25" s="139" t="str">
        <x:v>EUR/leto</x:v>
      </x:c>
      <x:c r="E25" s="139" t="str">
        <x:v>neposredna izguba</x:v>
      </x:c>
      <x:c r="F25" s="165" t="str">
        <x:v>razširjeni</x:v>
      </x:c>
      <x:c r="G25" s="165" t="str">
        <x:v>pogojno</x:v>
      </x:c>
      <x:c r="H25" s="139" t="str">
        <x:v>Prikaži le, če je modul izbran ali ga sproži poslovni profil</x:v>
      </x:c>
    </x:row>
    <x:row r="26">
      <x:c r="A26" s="141" t="str">
        <x:v>Q-022</x:v>
      </x:c>
      <x:c r="B26" s="139" t="str">
        <x:v>Nabava, dobavitelji in uvoz</x:v>
      </x:c>
      <x:c r="C26" s="139" t="str">
        <x:v>Kolikšen delež nabave je v tuji valuti ali izven EU?</x:v>
      </x:c>
      <x:c r="D26" s="139" t="str">
        <x:v>%</x:v>
      </x:c>
      <x:c r="E26" s="139" t="str">
        <x:v>valutna in uvozna veja</x:v>
      </x:c>
      <x:c r="F26" s="165" t="str">
        <x:v>razširjeni</x:v>
      </x:c>
      <x:c r="G26" s="165" t="str">
        <x:v>pogojno</x:v>
      </x:c>
      <x:c r="H26" s="139" t="str">
        <x:v>Prikaži le, če je modul izbran ali ga sproži poslovni profil</x:v>
      </x:c>
    </x:row>
    <x:row r="27">
      <x:c r="A27" s="141" t="str">
        <x:v>Q-023</x:v>
      </x:c>
      <x:c r="B27" s="139" t="str">
        <x:v>Nabava, dobavitelji in uvoz</x:v>
      </x:c>
      <x:c r="C27" s="139" t="str">
        <x:v>Ali landed cost vključuje prevoz, carino, zavarovanje in manipulacijo po artiklu?</x:v>
      </x:c>
      <x:c r="D27" s="139" t="str">
        <x:v>da/delno/ne</x:v>
      </x:c>
      <x:c r="E27" s="139" t="str">
        <x:v>kakovost marže</x:v>
      </x:c>
      <x:c r="F27" s="165" t="str">
        <x:v>razširjeni</x:v>
      </x:c>
      <x:c r="G27" s="165" t="str">
        <x:v>pogojno</x:v>
      </x:c>
      <x:c r="H27" s="139" t="str">
        <x:v>Prikaži le, če je modul izbran ali ga sproži poslovni profil</x:v>
      </x:c>
    </x:row>
    <x:row r="28">
      <x:c r="A28" s="141" t="str">
        <x:v>Q-024</x:v>
      </x:c>
      <x:c r="B28" s="139" t="str">
        <x:v>Nabava, dobavitelji in uvoz</x:v>
      </x:c>
      <x:c r="C28" s="139" t="str">
        <x:v>Koliko časa se odprta reklamacija dobavitelju ne zapre?</x:v>
      </x:c>
      <x:c r="D28" s="139" t="str">
        <x:v>dnevi + odprti EUR</x:v>
      </x:c>
      <x:c r="E28" s="139" t="str">
        <x:v>vezan kapital in čas</x:v>
      </x:c>
      <x:c r="F28" s="165" t="str">
        <x:v>razširjeni</x:v>
      </x:c>
      <x:c r="G28" s="165" t="str">
        <x:v>priporočeno</x:v>
      </x:c>
      <x:c r="H28" s="139" t="str">
        <x:v>Prikaži le, če je modul izbran ali ga sproži poslovni profil</x:v>
      </x:c>
    </x:row>
    <x:row r="29">
      <x:c r="A29" s="141" t="str">
        <x:v>Q-025</x:v>
      </x:c>
      <x:c r="B29" s="139" t="str">
        <x:v>Prevzem in skladiščenje</x:v>
      </x:c>
      <x:c r="C29" s="139" t="str">
        <x:v>Koliko dobav in prevzemnih vrstic prejmete mesečno?</x:v>
      </x:c>
      <x:c r="D29" s="139" t="str">
        <x:v>število</x:v>
      </x:c>
      <x:c r="E29" s="139" t="str">
        <x:v>obseg prevzema</x:v>
      </x:c>
      <x:c r="F29" s="165" t="str">
        <x:v>razširjeni</x:v>
      </x:c>
      <x:c r="G29" s="165" t="str">
        <x:v>priporočeno</x:v>
      </x:c>
      <x:c r="H29" s="139" t="str">
        <x:v>Prikaži le, če je modul izbran ali ga sproži poslovni profil</x:v>
      </x:c>
    </x:row>
    <x:row r="30">
      <x:c r="A30" s="141" t="str">
        <x:v>Q-026</x:v>
      </x:c>
      <x:c r="B30" s="139" t="str">
        <x:v>Prevzem in skladiščenje</x:v>
      </x:c>
      <x:c r="C30" s="139" t="str">
        <x:v>Kolikšen delež dobav ima uporabno predhodno najavo/ASN?</x:v>
      </x:c>
      <x:c r="D30" s="139" t="str">
        <x:v>%</x:v>
      </x:c>
      <x:c r="E30" s="139" t="str">
        <x:v>pripravljenost prevzema</x:v>
      </x:c>
      <x:c r="F30" s="165" t="str">
        <x:v>razširjeni</x:v>
      </x:c>
      <x:c r="G30" s="165" t="str">
        <x:v>pogojno</x:v>
      </x:c>
      <x:c r="H30" s="139" t="str">
        <x:v>Prikaži le, če je modul izbran ali ga sproži poslovni profil</x:v>
      </x:c>
    </x:row>
    <x:row r="31">
      <x:c r="A31" s="141" t="str">
        <x:v>Q-027</x:v>
      </x:c>
      <x:c r="B31" s="139" t="str">
        <x:v>Prevzem in skladiščenje</x:v>
      </x:c>
      <x:c r="C31" s="139" t="str">
        <x:v>Koliko časa traja od prihoda do prodajno razpoložljive zaloge?</x:v>
      </x:c>
      <x:c r="D31" s="139" t="str">
        <x:v>ure</x:v>
      </x:c>
      <x:c r="E31" s="139" t="str">
        <x:v>dock-to-stock</x:v>
      </x:c>
      <x:c r="F31" s="165" t="str">
        <x:v>razširjeni</x:v>
      </x:c>
      <x:c r="G31" s="165" t="str">
        <x:v>pogojno</x:v>
      </x:c>
      <x:c r="H31" s="139" t="str">
        <x:v>Prikaži le, če je modul izbran ali ga sproži poslovni profil</x:v>
      </x:c>
    </x:row>
    <x:row r="32">
      <x:c r="A32" s="141" t="str">
        <x:v>Q-028</x:v>
      </x:c>
      <x:c r="B32" s="139" t="str">
        <x:v>Prevzem in skladiščenje</x:v>
      </x:c>
      <x:c r="C32" s="139" t="str">
        <x:v>Koliko minut neposrednega dela zahteva dobava ali vrstica?</x:v>
      </x:c>
      <x:c r="D32" s="139" t="str">
        <x:v>minute</x:v>
      </x:c>
      <x:c r="E32" s="139" t="str">
        <x:v>strošek procesa</x:v>
      </x:c>
      <x:c r="F32" s="165" t="str">
        <x:v>razširjeni</x:v>
      </x:c>
      <x:c r="G32" s="165" t="str">
        <x:v>pogojno</x:v>
      </x:c>
      <x:c r="H32" s="139" t="str">
        <x:v>Prikaži le, če je modul izbran ali ga sproži poslovni profil</x:v>
      </x:c>
    </x:row>
    <x:row r="33">
      <x:c r="A33" s="141" t="str">
        <x:v>Q-029</x:v>
      </x:c>
      <x:c r="B33" s="139" t="str">
        <x:v>Prevzem in skladiščenje</x:v>
      </x:c>
      <x:c r="C33" s="139" t="str">
        <x:v>Kolikšen delež prevzemov zahteva ročni popravek?</x:v>
      </x:c>
      <x:c r="D33" s="139" t="str">
        <x:v>%</x:v>
      </x:c>
      <x:c r="E33" s="139" t="str">
        <x:v>ponovno delo</x:v>
      </x:c>
      <x:c r="F33" s="165" t="str">
        <x:v>razširjeni</x:v>
      </x:c>
      <x:c r="G33" s="165" t="str">
        <x:v>pogojno</x:v>
      </x:c>
      <x:c r="H33" s="139" t="str">
        <x:v>Prikaži le, če je modul izbran ali ga sproži poslovni profil</x:v>
      </x:c>
    </x:row>
    <x:row r="34">
      <x:c r="A34" s="141" t="str">
        <x:v>Q-030</x:v>
      </x:c>
      <x:c r="B34" s="139" t="str">
        <x:v>Prevzem in skladiščenje</x:v>
      </x:c>
      <x:c r="C34" s="139" t="str">
        <x:v>Ali se artikel, količina, lot/serial in lokacija zajamejo s skeniranjem?</x:v>
      </x:c>
      <x:c r="D34" s="139" t="str">
        <x:v>več izbir</x:v>
      </x:c>
      <x:c r="E34" s="139" t="str">
        <x:v>kakovost zajema</x:v>
      </x:c>
      <x:c r="F34" s="165" t="str">
        <x:v>razširjeni</x:v>
      </x:c>
      <x:c r="G34" s="165" t="str">
        <x:v>pogojno</x:v>
      </x:c>
      <x:c r="H34" s="139" t="str">
        <x:v>Prikaži le, če je modul izbran ali ga sproži poslovni profil</x:v>
      </x:c>
    </x:row>
    <x:row r="35">
      <x:c r="A35" s="141" t="str">
        <x:v>Q-031</x:v>
      </x:c>
      <x:c r="B35" s="139" t="str">
        <x:v>Prevzem in skladiščenje</x:v>
      </x:c>
      <x:c r="C35" s="139" t="str">
        <x:v>Koliko ur blago čaka pred knjiženjem ali odlaganjem?</x:v>
      </x:c>
      <x:c r="D35" s="139" t="str">
        <x:v>ure/mesec</x:v>
      </x:c>
      <x:c r="E35" s="139" t="str">
        <x:v>čakalni čas in navidezna nedostopnost</x:v>
      </x:c>
      <x:c r="F35" s="165" t="str">
        <x:v>razširjeni</x:v>
      </x:c>
      <x:c r="G35" s="165" t="str">
        <x:v>pogojno</x:v>
      </x:c>
      <x:c r="H35" s="139" t="str">
        <x:v>Prikaži le, če je modul izbran ali ga sproži poslovni profil</x:v>
      </x:c>
    </x:row>
    <x:row r="36">
      <x:c r="A36" s="141" t="str">
        <x:v>Q-032</x:v>
      </x:c>
      <x:c r="B36" s="139" t="str">
        <x:v>Prevzem in skladiščenje</x:v>
      </x:c>
      <x:c r="C36" s="139" t="str">
        <x:v>Kako pogosto je blago odloženo na napačno ali začasno lokacijo?</x:v>
      </x:c>
      <x:c r="D36" s="139" t="str">
        <x:v>dogodki</x:v>
      </x:c>
      <x:c r="E36" s="139" t="str">
        <x:v>lokacijska natančnost</x:v>
      </x:c>
      <x:c r="F36" s="165" t="str">
        <x:v>razširjeni</x:v>
      </x:c>
      <x:c r="G36" s="165" t="str">
        <x:v>pogojno</x:v>
      </x:c>
      <x:c r="H36" s="139" t="str">
        <x:v>Prikaži le, če je modul izbran ali ga sproži poslovni profil</x:v>
      </x:c>
    </x:row>
    <x:row r="37">
      <x:c r="A37" s="141" t="str">
        <x:v>Q-033</x:v>
      </x:c>
      <x:c r="B37" s="139" t="str">
        <x:v>Prevzem in skladiščenje</x:v>
      </x:c>
      <x:c r="C37" s="139" t="str">
        <x:v>Koliko dobaviteljskih razlik ostaja odprtih več kot 30 dni?</x:v>
      </x:c>
      <x:c r="D37" s="139" t="str">
        <x:v>število/EUR</x:v>
      </x:c>
      <x:c r="E37" s="139" t="str">
        <x:v>izjeme in kapital</x:v>
      </x:c>
      <x:c r="F37" s="165" t="str">
        <x:v>razširjeni</x:v>
      </x:c>
      <x:c r="G37" s="165" t="str">
        <x:v>priporočeno</x:v>
      </x:c>
      <x:c r="H37" s="139" t="str">
        <x:v>Prikaži le, če je modul izbran ali ga sproži poslovni profil</x:v>
      </x:c>
    </x:row>
    <x:row r="38">
      <x:c r="A38" s="141" t="str">
        <x:v>Q-034</x:v>
      </x:c>
      <x:c r="B38" s="139" t="str">
        <x:v>Prevzem in skladiščenje</x:v>
      </x:c>
      <x:c r="C38" s="139" t="str">
        <x:v>Koliko ur vozila ali zunanji izvajalci čakajo zaradi procesa?</x:v>
      </x:c>
      <x:c r="D38" s="139" t="str">
        <x:v>ure × tarifa</x:v>
      </x:c>
      <x:c r="E38" s="139" t="str">
        <x:v>neposredni strošek</x:v>
      </x:c>
      <x:c r="F38" s="165" t="str">
        <x:v>razširjeni</x:v>
      </x:c>
      <x:c r="G38" s="165" t="str">
        <x:v>pogojno</x:v>
      </x:c>
      <x:c r="H38" s="139" t="str">
        <x:v>Prikaži le, če je modul izbran ali ga sproži poslovni profil</x:v>
      </x:c>
    </x:row>
    <x:row r="39">
      <x:c r="A39" s="141" t="str">
        <x:v>Q-035</x:v>
      </x:c>
      <x:c r="B39" s="139" t="str">
        <x:v>Lokacije, komisioniranje, pakiranje in inventure</x:v>
      </x:c>
      <x:c r="C39" s="139" t="str">
        <x:v>Koliko naročilnih vrstic komisionirate mesečno?</x:v>
      </x:c>
      <x:c r="D39" s="139" t="str">
        <x:v>število</x:v>
      </x:c>
      <x:c r="E39" s="139" t="str">
        <x:v>obseg pickinga</x:v>
      </x:c>
      <x:c r="F39" s="165" t="str">
        <x:v>razširjeni</x:v>
      </x:c>
      <x:c r="G39" s="165" t="str">
        <x:v>priporočeno</x:v>
      </x:c>
      <x:c r="H39" s="139" t="str">
        <x:v>Prikaži le, če je modul izbran ali ga sproži poslovni profil</x:v>
      </x:c>
    </x:row>
    <x:row r="40">
      <x:c r="A40" s="141" t="str">
        <x:v>Q-036</x:v>
      </x:c>
      <x:c r="B40" s="139" t="str">
        <x:v>Lokacije, komisioniranje, pakiranje in inventure</x:v>
      </x:c>
      <x:c r="C40" s="139" t="str">
        <x:v>Koliko neposrednih ur porabi ekipa za picking in pakiranje?</x:v>
      </x:c>
      <x:c r="D40" s="139" t="str">
        <x:v>ure</x:v>
      </x:c>
      <x:c r="E40" s="139" t="str">
        <x:v>produktivnost</x:v>
      </x:c>
      <x:c r="F40" s="165" t="str">
        <x:v>razširjeni</x:v>
      </x:c>
      <x:c r="G40" s="165" t="str">
        <x:v>pogojno</x:v>
      </x:c>
      <x:c r="H40" s="139" t="str">
        <x:v>Prikaži le, če je modul izbran ali ga sproži poslovni profil</x:v>
      </x:c>
    </x:row>
    <x:row r="41">
      <x:c r="A41" s="141" t="str">
        <x:v>Q-037</x:v>
      </x:c>
      <x:c r="B41" s="139" t="str">
        <x:v>Lokacije, komisioniranje, pakiranje in inventure</x:v>
      </x:c>
      <x:c r="C41" s="139" t="str">
        <x:v>Kolikšen del časa je hoja, iskanje, pobiranje, kontrola in čakanje?</x:v>
      </x:c>
      <x:c r="D41" s="139" t="str">
        <x:v>porazdelitev</x:v>
      </x:c>
      <x:c r="E41" s="139" t="str">
        <x:v>vzrok izgub</x:v>
      </x:c>
      <x:c r="F41" s="165" t="str">
        <x:v>razširjeni</x:v>
      </x:c>
      <x:c r="G41" s="165" t="str">
        <x:v>pogojno</x:v>
      </x:c>
      <x:c r="H41" s="139" t="str">
        <x:v>Prikaži le, če je modul izbran ali ga sproži poslovni profil</x:v>
      </x:c>
    </x:row>
    <x:row r="42">
      <x:c r="A42" s="141" t="str">
        <x:v>Q-038</x:v>
      </x:c>
      <x:c r="B42" s="139" t="str">
        <x:v>Lokacije, komisioniranje, pakiranje in inventure</x:v>
      </x:c>
      <x:c r="C42" s="139" t="str">
        <x:v>Kolikšen delež pickinga poteka s papirja ali brez sprotne potrditve?</x:v>
      </x:c>
      <x:c r="D42" s="139" t="str">
        <x:v>%</x:v>
      </x:c>
      <x:c r="E42" s="139" t="str">
        <x:v>digitalna zrelost</x:v>
      </x:c>
      <x:c r="F42" s="165" t="str">
        <x:v>razširjeni</x:v>
      </x:c>
      <x:c r="G42" s="165" t="str">
        <x:v>pogojno</x:v>
      </x:c>
      <x:c r="H42" s="139" t="str">
        <x:v>Prikaži le, če je modul izbran ali ga sproži poslovni profil</x:v>
      </x:c>
    </x:row>
    <x:row r="43">
      <x:c r="A43" s="141" t="str">
        <x:v>Q-039</x:v>
      </x:c>
      <x:c r="B43" s="139" t="str">
        <x:v>Lokacije, komisioniranje, pakiranje in inventure</x:v>
      </x:c>
      <x:c r="C43" s="139" t="str">
        <x:v>Koliko napačnih vrstic je odkritih pred odpremo in po dostavi?</x:v>
      </x:c>
      <x:c r="D43" s="139" t="str">
        <x:v>dogodki/1.000</x:v>
      </x:c>
      <x:c r="E43" s="139" t="str">
        <x:v>kakovost in strošek</x:v>
      </x:c>
      <x:c r="F43" s="165" t="str">
        <x:v>razširjeni</x:v>
      </x:c>
      <x:c r="G43" s="165" t="str">
        <x:v>pogojno</x:v>
      </x:c>
      <x:c r="H43" s="139" t="str">
        <x:v>Prikaži le, če je modul izbran ali ga sproži poslovni profil</x:v>
      </x:c>
    </x:row>
    <x:row r="44">
      <x:c r="A44" s="141" t="str">
        <x:v>Q-040</x:v>
      </x:c>
      <x:c r="B44" s="139" t="str">
        <x:v>Lokacije, komisioniranje, pakiranje in inventure</x:v>
      </x:c>
      <x:c r="C44" s="139" t="str">
        <x:v>Koliko naročil je treba ponovno komisionirati?</x:v>
      </x:c>
      <x:c r="D44" s="139" t="str">
        <x:v>%</x:v>
      </x:c>
      <x:c r="E44" s="139" t="str">
        <x:v>ponovno delo</x:v>
      </x:c>
      <x:c r="F44" s="165" t="str">
        <x:v>razširjeni</x:v>
      </x:c>
      <x:c r="G44" s="165" t="str">
        <x:v>pogojno</x:v>
      </x:c>
      <x:c r="H44" s="139" t="str">
        <x:v>Prikaži le, če je modul izbran ali ga sproži poslovni profil</x:v>
      </x:c>
    </x:row>
    <x:row r="45">
      <x:c r="A45" s="141" t="str">
        <x:v>Q-041</x:v>
      </x:c>
      <x:c r="B45" s="139" t="str">
        <x:v>Lokacije, komisioniranje, pakiranje in inventure</x:v>
      </x:c>
      <x:c r="C45" s="139" t="str">
        <x:v>Koliko naročil se razdeli zaradi manjkajoče zaloge?</x:v>
      </x:c>
      <x:c r="D45" s="139" t="str">
        <x:v>%</x:v>
      </x:c>
      <x:c r="E45" s="139" t="str">
        <x:v>dodatni transport</x:v>
      </x:c>
      <x:c r="F45" s="165" t="str">
        <x:v>razširjeni</x:v>
      </x:c>
      <x:c r="G45" s="165" t="str">
        <x:v>pogojno</x:v>
      </x:c>
      <x:c r="H45" s="139" t="str">
        <x:v>Prikaži le, če je modul izbran ali ga sproži poslovni profil</x:v>
      </x:c>
    </x:row>
    <x:row r="46">
      <x:c r="A46" s="141" t="str">
        <x:v>Q-042</x:v>
      </x:c>
      <x:c r="B46" s="139" t="str">
        <x:v>Lokacije, komisioniranje, pakiranje in inventure</x:v>
      </x:c>
      <x:c r="C46" s="139" t="str">
        <x:v>Kako pogosto dopolnitev pick-face lokacije ustavi picking?</x:v>
      </x:c>
      <x:c r="D46" s="139" t="str">
        <x:v>dogodki/mesec</x:v>
      </x:c>
      <x:c r="E46" s="139" t="str">
        <x:v>replenishment stockout</x:v>
      </x:c>
      <x:c r="F46" s="165" t="str">
        <x:v>razširjeni</x:v>
      </x:c>
      <x:c r="G46" s="165" t="str">
        <x:v>pogojno</x:v>
      </x:c>
      <x:c r="H46" s="139" t="str">
        <x:v>Prikaži le, če je modul izbran ali ga sproži poslovni profil</x:v>
      </x:c>
    </x:row>
    <x:row r="47">
      <x:c r="A47" s="141" t="str">
        <x:v>Q-043</x:v>
      </x:c>
      <x:c r="B47" s="139" t="str">
        <x:v>Lokacije, komisioniranje, pakiranje in inventure</x:v>
      </x:c>
      <x:c r="C47" s="139" t="str">
        <x:v>Kako pogosto izvajate popolno in ciklično inventuro?</x:v>
      </x:c>
      <x:c r="D47" s="139" t="str">
        <x:v>frekvenca</x:v>
      </x:c>
      <x:c r="E47" s="139" t="str">
        <x:v>procesna zrelost</x:v>
      </x:c>
      <x:c r="F47" s="165" t="str">
        <x:v>razširjeni</x:v>
      </x:c>
      <x:c r="G47" s="165" t="str">
        <x:v>pogojno</x:v>
      </x:c>
      <x:c r="H47" s="139" t="str">
        <x:v>Prikaži le, če je modul izbran ali ga sproži poslovni profil</x:v>
      </x:c>
    </x:row>
    <x:row r="48">
      <x:c r="A48" s="141" t="str">
        <x:v>Q-044</x:v>
      </x:c>
      <x:c r="B48" s="139" t="str">
        <x:v>Lokacije, komisioniranje, pakiranje in inventure</x:v>
      </x:c>
      <x:c r="C48" s="139" t="str">
        <x:v>Koliko ljudi, ur in prekinitev zahteva posamezna inventura?</x:v>
      </x:c>
      <x:c r="D48" s="139" t="str">
        <x:v>količine</x:v>
      </x:c>
      <x:c r="E48" s="139" t="str">
        <x:v>kapaciteta in izpad</x:v>
      </x:c>
      <x:c r="F48" s="165" t="str">
        <x:v>razširjeni</x:v>
      </x:c>
      <x:c r="G48" s="165" t="str">
        <x:v>pogojno</x:v>
      </x:c>
      <x:c r="H48" s="139" t="str">
        <x:v>Prikaži le, če je modul izbran ali ga sproži poslovni profil</x:v>
      </x:c>
    </x:row>
    <x:row r="49">
      <x:c r="A49" s="141" t="str">
        <x:v>Q-045</x:v>
      </x:c>
      <x:c r="B49" s="139" t="str">
        <x:v>Lokacije, komisioniranje, pakiranje in inventure</x:v>
      </x:c>
      <x:c r="C49" s="139" t="str">
        <x:v>Kolikšna je vrednost inventurnih manjkov, viškov in odpisov?</x:v>
      </x:c>
      <x:c r="D49" s="139" t="str">
        <x:v>EUR/leto</x:v>
      </x:c>
      <x:c r="E49" s="139" t="str">
        <x:v>neposredni učinek</x:v>
      </x:c>
      <x:c r="F49" s="165" t="str">
        <x:v>razširjeni</x:v>
      </x:c>
      <x:c r="G49" s="165" t="str">
        <x:v>pogojno</x:v>
      </x:c>
      <x:c r="H49" s="139" t="str">
        <x:v>Prikaži le, če je modul izbran ali ga sproži poslovni profil</x:v>
      </x:c>
    </x:row>
    <x:row r="50">
      <x:c r="A50" s="141" t="str">
        <x:v>Q-046</x:v>
      </x:c>
      <x:c r="B50" s="139" t="str">
        <x:v>Lokacije, komisioniranje, pakiranje in inventure</x:v>
      </x:c>
      <x:c r="C50" s="139" t="str">
        <x:v>Koliko izogibljivih nadur je povezano z napakami, čakanjem ali slabim planom?</x:v>
      </x:c>
      <x:c r="D50" s="139" t="str">
        <x:v>ure/mesec</x:v>
      </x:c>
      <x:c r="E50" s="139" t="str">
        <x:v>strošek nadur</x:v>
      </x:c>
      <x:c r="F50" s="165" t="str">
        <x:v>razširjeni</x:v>
      </x:c>
      <x:c r="G50" s="165" t="str">
        <x:v>pogojno</x:v>
      </x:c>
      <x:c r="H50" s="139" t="str">
        <x:v>Prikaži le, če je modul izbran ali ga sproži poslovni profil</x:v>
      </x:c>
    </x:row>
    <x:row r="51">
      <x:c r="A51" s="141" t="str">
        <x:v>Q-047</x:v>
      </x:c>
      <x:c r="B51" s="139" t="str">
        <x:v>Planiranje zalog in razpoložljivost</x:v>
      </x:c>
      <x:c r="C51" s="139" t="str">
        <x:v>Kakšna sta letni COGS in 12-mesečna povprečna zaloga?</x:v>
      </x:c>
      <x:c r="D51" s="139" t="str">
        <x:v>EUR</x:v>
      </x:c>
      <x:c r="E51" s="139" t="str">
        <x:v>DIO in obrati</x:v>
      </x:c>
      <x:c r="F51" s="165" t="str">
        <x:v>osnovni ali pogojni</x:v>
      </x:c>
      <x:c r="G51" s="165" t="str">
        <x:v>pogojno</x:v>
      </x:c>
      <x:c r="H51" s="139" t="str">
        <x:v>Prikaži le, če je modul izbran ali ga sproži poslovni profil</x:v>
      </x:c>
    </x:row>
    <x:row r="52">
      <x:c r="A52" s="141" t="str">
        <x:v>Q-048</x:v>
      </x:c>
      <x:c r="B52" s="139" t="str">
        <x:v>Planiranje zalog in razpoložljivost</x:v>
      </x:c>
      <x:c r="C52" s="139" t="str">
        <x:v>Kolikšna je zaloga brez prodaje 90, 180 in 365 dni?</x:v>
      </x:c>
      <x:c r="D52" s="139" t="str">
        <x:v>EUR po skupini</x:v>
      </x:c>
      <x:c r="E52" s="139" t="str">
        <x:v>nekurantnost</x:v>
      </x:c>
      <x:c r="F52" s="165" t="str">
        <x:v>razširjeni</x:v>
      </x:c>
      <x:c r="G52" s="165" t="str">
        <x:v>pogojno</x:v>
      </x:c>
      <x:c r="H52" s="139" t="str">
        <x:v>Prikaži le, če je modul izbran ali ga sproži poslovni profil</x:v>
      </x:c>
    </x:row>
    <x:row r="53">
      <x:c r="A53" s="141" t="str">
        <x:v>Q-049</x:v>
      </x:c>
      <x:c r="B53" s="139" t="str">
        <x:v>Planiranje zalog in razpoložljivost</x:v>
      </x:c>
      <x:c r="C53" s="139" t="str">
        <x:v>Kolikšna je zaloga s kratkim preostalim rokom ali blokiranim statusom?</x:v>
      </x:c>
      <x:c r="D53" s="139" t="str">
        <x:v>EUR</x:v>
      </x:c>
      <x:c r="E53" s="139" t="str">
        <x:v>razvrednotenje</x:v>
      </x:c>
      <x:c r="F53" s="165" t="str">
        <x:v>razširjeni</x:v>
      </x:c>
      <x:c r="G53" s="165" t="str">
        <x:v>pogojno</x:v>
      </x:c>
      <x:c r="H53" s="139" t="str">
        <x:v>Prikaži le, če je modul izbran ali ga sproži poslovni profil</x:v>
      </x:c>
    </x:row>
    <x:row r="54">
      <x:c r="A54" s="141" t="str">
        <x:v>Q-050</x:v>
      </x:c>
      <x:c r="B54" s="139" t="str">
        <x:v>Planiranje zalog in razpoložljivost</x:v>
      </x:c>
      <x:c r="C54" s="139" t="str">
        <x:v>Kolikšni so odpisi in prodaja pod nabavno vrednostjo?</x:v>
      </x:c>
      <x:c r="D54" s="139" t="str">
        <x:v>EUR/leto</x:v>
      </x:c>
      <x:c r="E54" s="139" t="str">
        <x:v>neposredna izguba</x:v>
      </x:c>
      <x:c r="F54" s="165" t="str">
        <x:v>razširjeni</x:v>
      </x:c>
      <x:c r="G54" s="165" t="str">
        <x:v>pogojno</x:v>
      </x:c>
      <x:c r="H54" s="139" t="str">
        <x:v>Prikaži le, če je modul izbran ali ga sproži poslovni profil</x:v>
      </x:c>
    </x:row>
    <x:row r="55">
      <x:c r="A55" s="141" t="str">
        <x:v>Q-051</x:v>
      </x:c>
      <x:c r="B55" s="139" t="str">
        <x:v>Planiranje zalog in razpoložljivost</x:v>
      </x:c>
      <x:c r="C55" s="139" t="str">
        <x:v>Koliko vrstic ni mogoče takoj v celoti dobaviti?</x:v>
      </x:c>
      <x:c r="D55" s="139" t="str">
        <x:v>% ali število</x:v>
      </x:c>
      <x:c r="E55" s="139" t="str">
        <x:v>fill rate</x:v>
      </x:c>
      <x:c r="F55" s="165" t="str">
        <x:v>razširjeni</x:v>
      </x:c>
      <x:c r="G55" s="165" t="str">
        <x:v>pogojno</x:v>
      </x:c>
      <x:c r="H55" s="139" t="str">
        <x:v>Prikaži le, če je modul izbran ali ga sproži poslovni profil</x:v>
      </x:c>
    </x:row>
    <x:row r="56">
      <x:c r="A56" s="141" t="str">
        <x:v>Q-052</x:v>
      </x:c>
      <x:c r="B56" s="139" t="str">
        <x:v>Planiranje zalog in razpoložljivost</x:v>
      </x:c>
      <x:c r="C56" s="139" t="str">
        <x:v>Kolikšen delež je kasneje dobavljen, nadomeščen ali dokončno izgubljen?</x:v>
      </x:c>
      <x:c r="D56" s="139" t="str">
        <x:v>porazdelitev %</x:v>
      </x:c>
      <x:c r="E56" s="139" t="str">
        <x:v>izgubljena marža</x:v>
      </x:c>
      <x:c r="F56" s="165" t="str">
        <x:v>razširjeni</x:v>
      </x:c>
      <x:c r="G56" s="165" t="str">
        <x:v>pogojno</x:v>
      </x:c>
      <x:c r="H56" s="139" t="str">
        <x:v>Prikaži le, če je modul izbran ali ga sproži poslovni profil</x:v>
      </x:c>
    </x:row>
    <x:row r="57">
      <x:c r="A57" s="141" t="str">
        <x:v>Q-053</x:v>
      </x:c>
      <x:c r="B57" s="139" t="str">
        <x:v>Planiranje zalog in razpoložljivost</x:v>
      </x:c>
      <x:c r="C57" s="139" t="str">
        <x:v>Kakšna sta povprečna vrednost prizadete vrstice in prispevna marža?</x:v>
      </x:c>
      <x:c r="D57" s="139" t="str">
        <x:v>EUR in %</x:v>
      </x:c>
      <x:c r="E57" s="139" t="str">
        <x:v>finančni učinek</x:v>
      </x:c>
      <x:c r="F57" s="165" t="str">
        <x:v>razširjeni</x:v>
      </x:c>
      <x:c r="G57" s="165" t="str">
        <x:v>pogojno</x:v>
      </x:c>
      <x:c r="H57" s="139" t="str">
        <x:v>Prikaži le, če je modul izbran ali ga sproži poslovni profil</x:v>
      </x:c>
    </x:row>
    <x:row r="58">
      <x:c r="A58" s="141" t="str">
        <x:v>Q-054</x:v>
      </x:c>
      <x:c r="B58" s="139" t="str">
        <x:v>Planiranje zalog in razpoložljivost</x:v>
      </x:c>
      <x:c r="C58" s="139" t="str">
        <x:v>Na kateri ravni in kako pogosto nastaja napoved?</x:v>
      </x:c>
      <x:c r="D58" s="139" t="str">
        <x:v>izbira</x:v>
      </x:c>
      <x:c r="E58" s="139" t="str">
        <x:v>zrelost planiranja</x:v>
      </x:c>
      <x:c r="F58" s="165" t="str">
        <x:v>razširjeni</x:v>
      </x:c>
      <x:c r="G58" s="165" t="str">
        <x:v>pogojno</x:v>
      </x:c>
      <x:c r="H58" s="139" t="str">
        <x:v>Prikaži le, če je modul izbran ali ga sproži poslovni profil</x:v>
      </x:c>
    </x:row>
    <x:row r="59">
      <x:c r="A59" s="141" t="str">
        <x:v>Q-055</x:v>
      </x:c>
      <x:c r="B59" s="139" t="str">
        <x:v>Planiranje zalog in razpoložljivost</x:v>
      </x:c>
      <x:c r="C59" s="139" t="str">
        <x:v>Ali merite napako napovedi, bias in raven storitve?</x:v>
      </x:c>
      <x:c r="D59" s="139" t="str">
        <x:v>da/delno/ne</x:v>
      </x:c>
      <x:c r="E59" s="139" t="str">
        <x:v>kakovost planiranja</x:v>
      </x:c>
      <x:c r="F59" s="165" t="str">
        <x:v>razširjeni</x:v>
      </x:c>
      <x:c r="G59" s="165" t="str">
        <x:v>pogojno</x:v>
      </x:c>
      <x:c r="H59" s="139" t="str">
        <x:v>Prikaži le, če je modul izbran ali ga sproži poslovni profil</x:v>
      </x:c>
    </x:row>
    <x:row r="60">
      <x:c r="A60" s="141" t="str">
        <x:v>Q-056</x:v>
      </x:c>
      <x:c r="B60" s="139" t="str">
        <x:v>Planiranje zalog in razpoložljivost</x:v>
      </x:c>
      <x:c r="C60" s="139" t="str">
        <x:v>Kako določate minimalno, maksimalno in varnostno zalogo?</x:v>
      </x:c>
      <x:c r="D60" s="139" t="str">
        <x:v>izbira</x:v>
      </x:c>
      <x:c r="E60" s="139" t="str">
        <x:v>vzrok presežkov</x:v>
      </x:c>
      <x:c r="F60" s="165" t="str">
        <x:v>razširjeni</x:v>
      </x:c>
      <x:c r="G60" s="165" t="str">
        <x:v>pogojno</x:v>
      </x:c>
      <x:c r="H60" s="139" t="str">
        <x:v>Prikaži le, če je modul izbran ali ga sproži poslovni profil</x:v>
      </x:c>
    </x:row>
    <x:row r="61">
      <x:c r="A61" s="141" t="str">
        <x:v>Q-057</x:v>
      </x:c>
      <x:c r="B61" s="139" t="str">
        <x:v>Planiranje zalog in razpoložljivost</x:v>
      </x:c>
      <x:c r="C61" s="139" t="str">
        <x:v>Kakšna sta povprečen dobavni rok in njegova variabilnost?</x:v>
      </x:c>
      <x:c r="D61" s="139" t="str">
        <x:v>dnevi</x:v>
      </x:c>
      <x:c r="E61" s="139" t="str">
        <x:v>varnostna zaloga</x:v>
      </x:c>
      <x:c r="F61" s="165" t="str">
        <x:v>razširjeni</x:v>
      </x:c>
      <x:c r="G61" s="165" t="str">
        <x:v>pogojno</x:v>
      </x:c>
      <x:c r="H61" s="139" t="str">
        <x:v>Prikaži le, če je modul izbran ali ga sproži poslovni profil</x:v>
      </x:c>
    </x:row>
    <x:row r="62">
      <x:c r="A62" s="141" t="str">
        <x:v>Q-058</x:v>
      </x:c>
      <x:c r="B62" s="139" t="str">
        <x:v>Planiranje zalog in razpoložljivost</x:v>
      </x:c>
      <x:c r="C62" s="139" t="str">
        <x:v>Kateri SKU imajo strateško zalogo kljub redki prodaji?</x:v>
      </x:c>
      <x:c r="D62" s="139" t="str">
        <x:v>opis/delež</x:v>
      </x:c>
      <x:c r="E62" s="139" t="str">
        <x:v>zaščita pred napačnim rezanjem</x:v>
      </x:c>
      <x:c r="F62" s="165" t="str">
        <x:v>razširjeni</x:v>
      </x:c>
      <x:c r="G62" s="165" t="str">
        <x:v>pogojno</x:v>
      </x:c>
      <x:c r="H62" s="139" t="str">
        <x:v>Prikaži le, če je modul izbran ali ga sproži poslovni profil</x:v>
      </x:c>
    </x:row>
    <x:row r="63">
      <x:c r="A63" s="141" t="str">
        <x:v>Q-059</x:v>
      </x:c>
      <x:c r="B63" s="139" t="str">
        <x:v>Odprema, transport in dostava</x:v>
      </x:c>
      <x:c r="C63" s="139" t="str">
        <x:v>Koliko paketnih, paletnih in lastnih dostav opravite mesečno?</x:v>
      </x:c>
      <x:c r="D63" s="139" t="str">
        <x:v>število po tipu</x:v>
      </x:c>
      <x:c r="E63" s="139" t="str">
        <x:v>segmentacija stroškov</x:v>
      </x:c>
      <x:c r="F63" s="165" t="str">
        <x:v>razširjeni</x:v>
      </x:c>
      <x:c r="G63" s="165" t="str">
        <x:v>pogojno</x:v>
      </x:c>
      <x:c r="H63" s="139" t="str">
        <x:v>Prikaži le, če je modul izbran ali ga sproži poslovni profil</x:v>
      </x:c>
    </x:row>
    <x:row r="64">
      <x:c r="A64" s="141" t="str">
        <x:v>Q-060</x:v>
      </x:c>
      <x:c r="B64" s="139" t="str">
        <x:v>Odprema, transport in dostava</x:v>
      </x:c>
      <x:c r="C64" s="139" t="str">
        <x:v>Kolikšen delež je pravočasno odpremljen in pravočasno dostavljen?</x:v>
      </x:c>
      <x:c r="D64" s="139" t="str">
        <x:v>2 odstotka</x:v>
      </x:c>
      <x:c r="E64" s="139" t="str">
        <x:v>ship proti delivery</x:v>
      </x:c>
      <x:c r="F64" s="165" t="str">
        <x:v>razširjeni</x:v>
      </x:c>
      <x:c r="G64" s="165" t="str">
        <x:v>pogojno</x:v>
      </x:c>
      <x:c r="H64" s="139" t="str">
        <x:v>Prikaži le, če je modul izbran ali ga sproži poslovni profil</x:v>
      </x:c>
    </x:row>
    <x:row r="65">
      <x:c r="A65" s="141" t="str">
        <x:v>Q-061</x:v>
      </x:c>
      <x:c r="B65" s="139" t="str">
        <x:v>Odprema, transport in dostava</x:v>
      </x:c>
      <x:c r="C65" s="139" t="str">
        <x:v>Kolikšen delež naročil je OTIF in perfect order?</x:v>
      </x:c>
      <x:c r="D65" s="139" t="str">
        <x:v>%</x:v>
      </x:c>
      <x:c r="E65" s="139" t="str">
        <x:v>celotna storitev</x:v>
      </x:c>
      <x:c r="F65" s="165" t="str">
        <x:v>razširjeni</x:v>
      </x:c>
      <x:c r="G65" s="165" t="str">
        <x:v>pogojno</x:v>
      </x:c>
      <x:c r="H65" s="139" t="str">
        <x:v>Prikaži le, če je modul izbran ali ga sproži poslovni profil</x:v>
      </x:c>
    </x:row>
    <x:row r="66">
      <x:c r="A66" s="141" t="str">
        <x:v>Q-062</x:v>
      </x:c>
      <x:c r="B66" s="139" t="str">
        <x:v>Odprema, transport in dostava</x:v>
      </x:c>
      <x:c r="C66" s="139" t="str">
        <x:v>Koliko časa gre za nalepke, prevoznice, dokumente in portal prevoznika?</x:v>
      </x:c>
      <x:c r="D66" s="139" t="str">
        <x:v>ure/mesec</x:v>
      </x:c>
      <x:c r="E66" s="139" t="str">
        <x:v>kapaciteta</x:v>
      </x:c>
      <x:c r="F66" s="165" t="str">
        <x:v>razširjeni</x:v>
      </x:c>
      <x:c r="G66" s="165" t="str">
        <x:v>pogojno</x:v>
      </x:c>
      <x:c r="H66" s="139" t="str">
        <x:v>Prikaži le, če je modul izbran ali ga sproži poslovni profil</x:v>
      </x:c>
    </x:row>
    <x:row r="67">
      <x:c r="A67" s="141" t="str">
        <x:v>Q-063</x:v>
      </x:c>
      <x:c r="B67" s="139" t="str">
        <x:v>Odprema, transport in dostava</x:v>
      </x:c>
      <x:c r="C67" s="139" t="str">
        <x:v>Koliko ekspresnih, ponovljenih in neuspelih dostav nastane?</x:v>
      </x:c>
      <x:c r="D67" s="139" t="str">
        <x:v>dogodki po razlogu</x:v>
      </x:c>
      <x:c r="E67" s="139" t="str">
        <x:v>neposredni strošek</x:v>
      </x:c>
      <x:c r="F67" s="165" t="str">
        <x:v>razširjeni</x:v>
      </x:c>
      <x:c r="G67" s="165" t="str">
        <x:v>pogojno</x:v>
      </x:c>
      <x:c r="H67" s="139" t="str">
        <x:v>Prikaži le, če je modul izbran ali ga sproži poslovni profil</x:v>
      </x:c>
    </x:row>
    <x:row r="68">
      <x:c r="A68" s="141" t="str">
        <x:v>Q-064</x:v>
      </x:c>
      <x:c r="B68" s="139" t="str">
        <x:v>Odprema, transport in dostava</x:v>
      </x:c>
      <x:c r="C68" s="139" t="str">
        <x:v>Kolikšni so prevoz, gorivni dodatki, cestnine in druga doplačila?</x:v>
      </x:c>
      <x:c r="D68" s="139" t="str">
        <x:v>EUR/leto</x:v>
      </x:c>
      <x:c r="E68" s="139" t="str">
        <x:v>baseline logistike</x:v>
      </x:c>
      <x:c r="F68" s="165" t="str">
        <x:v>razširjeni</x:v>
      </x:c>
      <x:c r="G68" s="165" t="str">
        <x:v>pogojno</x:v>
      </x:c>
      <x:c r="H68" s="139" t="str">
        <x:v>Prikaži le, če je modul izbran ali ga sproži poslovni profil</x:v>
      </x:c>
    </x:row>
    <x:row r="69">
      <x:c r="A69" s="141" t="str">
        <x:v>Q-065</x:v>
      </x:c>
      <x:c r="B69" s="139" t="str">
        <x:v>Odprema, transport in dostava</x:v>
      </x:c>
      <x:c r="C69" s="139" t="str">
        <x:v>Koliko transporta je zaračunanega kupcem?</x:v>
      </x:c>
      <x:c r="D69" s="139" t="str">
        <x:v>EUR/%</x:v>
      </x:c>
      <x:c r="E69" s="139" t="str">
        <x:v>neto cost-to-serve</x:v>
      </x:c>
      <x:c r="F69" s="165" t="str">
        <x:v>razširjeni</x:v>
      </x:c>
      <x:c r="G69" s="165" t="str">
        <x:v>pogojno</x:v>
      </x:c>
      <x:c r="H69" s="139" t="str">
        <x:v>Prikaži le, če je modul izbran ali ga sproži poslovni profil</x:v>
      </x:c>
    </x:row>
    <x:row r="70">
      <x:c r="A70" s="141" t="str">
        <x:v>Q-066</x:v>
      </x:c>
      <x:c r="B70" s="139" t="str">
        <x:v>Odprema, transport in dostava</x:v>
      </x:c>
      <x:c r="C70" s="139" t="str">
        <x:v>Koliko penalov ali odbitkov je povezanih z dostavo?</x:v>
      </x:c>
      <x:c r="D70" s="139" t="str">
        <x:v>EUR/leto</x:v>
      </x:c>
      <x:c r="E70" s="139" t="str">
        <x:v>neposredna izguba</x:v>
      </x:c>
      <x:c r="F70" s="165" t="str">
        <x:v>razširjeni</x:v>
      </x:c>
      <x:c r="G70" s="165" t="str">
        <x:v>pogojno</x:v>
      </x:c>
      <x:c r="H70" s="139" t="str">
        <x:v>Prikaži le, če je modul izbran ali ga sproži poslovni profil</x:v>
      </x:c>
    </x:row>
    <x:row r="71">
      <x:c r="A71" s="141" t="str">
        <x:v>Q-067</x:v>
      </x:c>
      <x:c r="B71" s="139" t="str">
        <x:v>Odprema, transport in dostava</x:v>
      </x:c>
      <x:c r="C71" s="139" t="str">
        <x:v>Kolikšen delež pošiljk ima napako v naslovu ali dokumentaciji?</x:v>
      </x:c>
      <x:c r="D71" s="139" t="str">
        <x:v>%</x:v>
      </x:c>
      <x:c r="E71" s="139" t="str">
        <x:v>kakovost podatkov</x:v>
      </x:c>
      <x:c r="F71" s="165" t="str">
        <x:v>razširjeni</x:v>
      </x:c>
      <x:c r="G71" s="165" t="str">
        <x:v>pogojno</x:v>
      </x:c>
      <x:c r="H71" s="139" t="str">
        <x:v>Prikaži le, če je modul izbran ali ga sproži poslovni profil</x:v>
      </x:c>
    </x:row>
    <x:row r="72">
      <x:c r="A72" s="141" t="str">
        <x:v>Q-068</x:v>
      </x:c>
      <x:c r="B72" s="139" t="str">
        <x:v>Odprema, transport in dostava</x:v>
      </x:c>
      <x:c r="C72" s="139" t="str">
        <x:v>Ali je strošek dostave viden po kupcu, naročilu in liniji?</x:v>
      </x:c>
      <x:c r="D72" s="139" t="str">
        <x:v>da/delno/ne</x:v>
      </x:c>
      <x:c r="E72" s="139" t="str">
        <x:v>cost-to-serve</x:v>
      </x:c>
      <x:c r="F72" s="165" t="str">
        <x:v>razširjeni</x:v>
      </x:c>
      <x:c r="G72" s="165" t="str">
        <x:v>pogojno</x:v>
      </x:c>
      <x:c r="H72" s="139" t="str">
        <x:v>Prikaži le, če je modul izbran ali ga sproži poslovni profil</x:v>
      </x:c>
    </x:row>
    <x:row r="73">
      <x:c r="A73" s="141" t="str">
        <x:v>Q-069</x:v>
      </x:c>
      <x:c r="B73" s="139" t="str">
        <x:v>Odprema, transport in dostava</x:v>
      </x:c>
      <x:c r="C73" s="139" t="str">
        <x:v>Koliko časa traja do prejema in knjiženja POD?</x:v>
      </x:c>
      <x:c r="D73" s="139" t="str">
        <x:v>dnevi</x:v>
      </x:c>
      <x:c r="E73" s="139" t="str">
        <x:v>fakturiranje in spori</x:v>
      </x:c>
      <x:c r="F73" s="165" t="str">
        <x:v>razširjeni</x:v>
      </x:c>
      <x:c r="G73" s="165" t="str">
        <x:v>pogojno</x:v>
      </x:c>
      <x:c r="H73" s="139" t="str">
        <x:v>Prikaži le, če je modul izbran ali ga sproži poslovni profil</x:v>
      </x:c>
    </x:row>
    <x:row r="74">
      <x:c r="A74" s="141" t="str">
        <x:v>Q-070</x:v>
      </x:c>
      <x:c r="B74" s="139" t="str">
        <x:v>Vračila, reklamacije, RMA in servis</x:v>
      </x:c>
      <x:c r="C74" s="139" t="str">
        <x:v>Koliko primerov nastane po vrsti in razlogu?</x:v>
      </x:c>
      <x:c r="D74" s="139" t="str">
        <x:v>dogodki/mesec</x:v>
      </x:c>
      <x:c r="E74" s="139" t="str">
        <x:v>obseg in vzrok</x:v>
      </x:c>
      <x:c r="F74" s="165" t="str">
        <x:v>razširjeni</x:v>
      </x:c>
      <x:c r="G74" s="165" t="str">
        <x:v>priporočeno</x:v>
      </x:c>
      <x:c r="H74" s="139" t="str">
        <x:v>Prikaži le, če je modul izbran ali ga sproži poslovni profil</x:v>
      </x:c>
    </x:row>
    <x:row r="75">
      <x:c r="A75" s="141" t="str">
        <x:v>Q-071</x:v>
      </x:c>
      <x:c r="B75" s="139" t="str">
        <x:v>Vračila, reklamacije, RMA in servis</x:v>
      </x:c>
      <x:c r="C75" s="139" t="str">
        <x:v>Koliko časa neposrednega dela zahteva primer?</x:v>
      </x:c>
      <x:c r="D75" s="139" t="str">
        <x:v>minute/ure</x:v>
      </x:c>
      <x:c r="E75" s="139" t="str">
        <x:v>kapaciteta</x:v>
      </x:c>
      <x:c r="F75" s="165" t="str">
        <x:v>razširjeni</x:v>
      </x:c>
      <x:c r="G75" s="165" t="str">
        <x:v>pogojno</x:v>
      </x:c>
      <x:c r="H75" s="139" t="str">
        <x:v>Prikaži le, če je modul izbran ali ga sproži poslovni profil</x:v>
      </x:c>
    </x:row>
    <x:row r="76">
      <x:c r="A76" s="141" t="str">
        <x:v>Q-072</x:v>
      </x:c>
      <x:c r="B76" s="139" t="str">
        <x:v>Vračila, reklamacije, RMA in servis</x:v>
      </x:c>
      <x:c r="C76" s="139" t="str">
        <x:v>Kolikšna sta dodatni vhodni in izhodni transport?</x:v>
      </x:c>
      <x:c r="D76" s="139" t="str">
        <x:v>EUR/primer</x:v>
      </x:c>
      <x:c r="E76" s="139" t="str">
        <x:v>neposredni strošek</x:v>
      </x:c>
      <x:c r="F76" s="165" t="str">
        <x:v>razširjeni</x:v>
      </x:c>
      <x:c r="G76" s="165" t="str">
        <x:v>pogojno</x:v>
      </x:c>
      <x:c r="H76" s="139" t="str">
        <x:v>Prikaži le, če je modul izbran ali ga sproži poslovni profil</x:v>
      </x:c>
    </x:row>
    <x:row r="77">
      <x:c r="A77" s="141" t="str">
        <x:v>Q-073</x:v>
      </x:c>
      <x:c r="B77" s="139" t="str">
        <x:v>Vračila, reklamacije, RMA in servis</x:v>
      </x:c>
      <x:c r="C77" s="139" t="str">
        <x:v>Kolikšen delež blaga se vrne v redno prodajo, outlet, dobavitelju ali odpis?</x:v>
      </x:c>
      <x:c r="D77" s="139" t="str">
        <x:v>porazdelitev</x:v>
      </x:c>
      <x:c r="E77" s="139" t="str">
        <x:v>neto izguba</x:v>
      </x:c>
      <x:c r="F77" s="165" t="str">
        <x:v>razširjeni</x:v>
      </x:c>
      <x:c r="G77" s="165" t="str">
        <x:v>pogojno</x:v>
      </x:c>
      <x:c r="H77" s="139" t="str">
        <x:v>Prikaži le, če je modul izbran ali ga sproži poslovni profil</x:v>
      </x:c>
    </x:row>
    <x:row r="78">
      <x:c r="A78" s="141" t="str">
        <x:v>Q-074</x:v>
      </x:c>
      <x:c r="B78" s="139" t="str">
        <x:v>Vračila, reklamacije, RMA in servis</x:v>
      </x:c>
      <x:c r="C78" s="139" t="str">
        <x:v>Kakšna je povprečna izguba vrednosti pri ponovni prodaji?</x:v>
      </x:c>
      <x:c r="D78" s="139" t="str">
        <x:v>EUR ali %</x:v>
      </x:c>
      <x:c r="E78" s="139" t="str">
        <x:v>razvrednotenje</x:v>
      </x:c>
      <x:c r="F78" s="165" t="str">
        <x:v>razširjeni</x:v>
      </x:c>
      <x:c r="G78" s="165" t="str">
        <x:v>pogojno</x:v>
      </x:c>
      <x:c r="H78" s="139" t="str">
        <x:v>Prikaži le, če je modul izbran ali ga sproži poslovni profil</x:v>
      </x:c>
    </x:row>
    <x:row r="79">
      <x:c r="A79" s="141" t="str">
        <x:v>Q-075</x:v>
      </x:c>
      <x:c r="B79" s="139" t="str">
        <x:v>Vračila, reklamacije, RMA in servis</x:v>
      </x:c>
      <x:c r="C79" s="139" t="str">
        <x:v>Koliko stroškov povrne dobavitelj ali prevoznik?</x:v>
      </x:c>
      <x:c r="D79" s="139" t="str">
        <x:v>EUR/%</x:v>
      </x:c>
      <x:c r="E79" s="139" t="str">
        <x:v>recovery</x:v>
      </x:c>
      <x:c r="F79" s="165" t="str">
        <x:v>razširjeni</x:v>
      </x:c>
      <x:c r="G79" s="165" t="str">
        <x:v>pogojno</x:v>
      </x:c>
      <x:c r="H79" s="139" t="str">
        <x:v>Prikaži le, če je modul izbran ali ga sproži poslovni profil</x:v>
      </x:c>
    </x:row>
    <x:row r="80">
      <x:c r="A80" s="141" t="str">
        <x:v>Q-076</x:v>
      </x:c>
      <x:c r="B80" s="139" t="str">
        <x:v>Vračila, reklamacije, RMA in servis</x:v>
      </x:c>
      <x:c r="C80" s="139" t="str">
        <x:v>Koliko dni traja do fizičnega in finančnega zaprtja?</x:v>
      </x:c>
      <x:c r="D80" s="139" t="str">
        <x:v>dnevi</x:v>
      </x:c>
      <x:c r="E80" s="139" t="str">
        <x:v>cikel in kapital</x:v>
      </x:c>
      <x:c r="F80" s="165" t="str">
        <x:v>razširjeni</x:v>
      </x:c>
      <x:c r="G80" s="165" t="str">
        <x:v>priporočeno</x:v>
      </x:c>
      <x:c r="H80" s="139" t="str">
        <x:v>Prikaži le, če je modul izbran ali ga sproži poslovni profil</x:v>
      </x:c>
    </x:row>
    <x:row r="81">
      <x:c r="A81" s="141" t="str">
        <x:v>Q-077</x:v>
      </x:c>
      <x:c r="B81" s="139" t="str">
        <x:v>Vračila, reklamacije, RMA in servis</x:v>
      </x:c>
      <x:c r="C81" s="139" t="str">
        <x:v>Kolikšna je vrednost odprtih RMA in garancijskih zalog?</x:v>
      </x:c>
      <x:c r="D81" s="139" t="str">
        <x:v>EUR</x:v>
      </x:c>
      <x:c r="E81" s="139" t="str">
        <x:v>vezan kapital</x:v>
      </x:c>
      <x:c r="F81" s="165" t="str">
        <x:v>razširjeni</x:v>
      </x:c>
      <x:c r="G81" s="165" t="str">
        <x:v>priporočeno</x:v>
      </x:c>
      <x:c r="H81" s="139" t="str">
        <x:v>Prikaži le, če je modul izbran ali ga sproži poslovni profil</x:v>
      </x:c>
    </x:row>
    <x:row r="82">
      <x:c r="A82" s="141" t="str">
        <x:v>Q-078</x:v>
      </x:c>
      <x:c r="B82" s="139" t="str">
        <x:v>Vračila, reklamacije, RMA in servis</x:v>
      </x:c>
      <x:c r="C82" s="139" t="str">
        <x:v>Koliko servisnih obiskov je ponovljenih?</x:v>
      </x:c>
      <x:c r="D82" s="139" t="str">
        <x:v>%</x:v>
      </x:c>
      <x:c r="E82" s="139" t="str">
        <x:v>first-time-fix</x:v>
      </x:c>
      <x:c r="F82" s="165" t="str">
        <x:v>razširjeni</x:v>
      </x:c>
      <x:c r="G82" s="165" t="str">
        <x:v>pogojno</x:v>
      </x:c>
      <x:c r="H82" s="139" t="str">
        <x:v>Prikaži le, če je modul izbran ali ga sproži poslovni profil</x:v>
      </x:c>
    </x:row>
    <x:row r="83">
      <x:c r="A83" s="141" t="str">
        <x:v>Q-079</x:v>
      </x:c>
      <x:c r="B83" s="139" t="str">
        <x:v>Vračila, reklamacije, RMA in servis</x:v>
      </x:c>
      <x:c r="C83" s="139" t="str">
        <x:v>Ali je primer povezan z izvirnim naročilom, lotom/serialom in dobaviteljem?</x:v>
      </x:c>
      <x:c r="D83" s="139" t="str">
        <x:v>da/delno/ne</x:v>
      </x:c>
      <x:c r="E83" s="139" t="str">
        <x:v>sledljivost</x:v>
      </x:c>
      <x:c r="F83" s="165" t="str">
        <x:v>razširjeni</x:v>
      </x:c>
      <x:c r="G83" s="165" t="str">
        <x:v>pogojno</x:v>
      </x:c>
      <x:c r="H83" s="139" t="str">
        <x:v>Prikaži le, če je modul izbran ali ga sproži poslovni profil</x:v>
      </x:c>
    </x:row>
    <x:row r="84">
      <x:c r="A84" s="141" t="str">
        <x:v>Q-080</x:v>
      </x:c>
      <x:c r="B84" s="139" t="str">
        <x:v>Terjatve, krediti in izterjava</x:v>
      </x:c>
      <x:c r="C84" s="139" t="str">
        <x:v>Kolikšna je letna prodaja na odloženo plačilo?</x:v>
      </x:c>
      <x:c r="D84" s="139" t="str">
        <x:v>EUR</x:v>
      </x:c>
      <x:c r="E84" s="139" t="str">
        <x:v>imenovalec DSO</x:v>
      </x:c>
      <x:c r="F84" s="165" t="str">
        <x:v>osnovni ali pogojni</x:v>
      </x:c>
      <x:c r="G84" s="165" t="str">
        <x:v>priporočeno</x:v>
      </x:c>
      <x:c r="H84" s="139" t="str">
        <x:v>Prikaži le, če je modul izbran ali ga sproži poslovni profil</x:v>
      </x:c>
    </x:row>
    <x:row r="85">
      <x:c r="A85" s="141" t="str">
        <x:v>Q-081</x:v>
      </x:c>
      <x:c r="B85" s="139" t="str">
        <x:v>Terjatve, krediti in izterjava</x:v>
      </x:c>
      <x:c r="C85" s="139" t="str">
        <x:v>Kakšni so povprečni pogodbeni rok, dejanski DSO in cilj?</x:v>
      </x:c>
      <x:c r="D85" s="139" t="str">
        <x:v>dnevi</x:v>
      </x:c>
      <x:c r="E85" s="139" t="str">
        <x:v>kapital</x:v>
      </x:c>
      <x:c r="F85" s="165" t="str">
        <x:v>razširjeni</x:v>
      </x:c>
      <x:c r="G85" s="165" t="str">
        <x:v>priporočeno</x:v>
      </x:c>
      <x:c r="H85" s="139" t="str">
        <x:v>Prikaži le, če je modul izbran ali ga sproži poslovni profil</x:v>
      </x:c>
    </x:row>
    <x:row r="86">
      <x:c r="A86" s="141" t="str">
        <x:v>Q-082</x:v>
      </x:c>
      <x:c r="B86" s="139" t="str">
        <x:v>Terjatve, krediti in izterjava</x:v>
      </x:c>
      <x:c r="C86" s="139" t="str">
        <x:v>Kolikšna je povprečna vrednost odprtih in zapadlih terjatev?</x:v>
      </x:c>
      <x:c r="D86" s="139" t="str">
        <x:v>EUR</x:v>
      </x:c>
      <x:c r="E86" s="139" t="str">
        <x:v>izpostavljenost</x:v>
      </x:c>
      <x:c r="F86" s="165" t="str">
        <x:v>razširjeni</x:v>
      </x:c>
      <x:c r="G86" s="165" t="str">
        <x:v>pogojno</x:v>
      </x:c>
      <x:c r="H86" s="139" t="str">
        <x:v>Prikaži le, če je modul izbran ali ga sproži poslovni profil</x:v>
      </x:c>
    </x:row>
    <x:row r="87">
      <x:c r="A87" s="141" t="str">
        <x:v>Q-083</x:v>
      </x:c>
      <x:c r="B87" s="139" t="str">
        <x:v>Terjatve, krediti in izterjava</x:v>
      </x:c>
      <x:c r="C87" s="139" t="str">
        <x:v>Kakšna je starostna struktura zapadlih terjatev?</x:v>
      </x:c>
      <x:c r="D87" s="139" t="str">
        <x:v>EUR po bucketih</x:v>
      </x:c>
      <x:c r="E87" s="139" t="str">
        <x:v>tveganje</x:v>
      </x:c>
      <x:c r="F87" s="165" t="str">
        <x:v>razširjeni</x:v>
      </x:c>
      <x:c r="G87" s="165" t="str">
        <x:v>pogojno</x:v>
      </x:c>
      <x:c r="H87" s="139" t="str">
        <x:v>Prikaži le, če je modul izbran ali ga sproži poslovni profil</x:v>
      </x:c>
    </x:row>
    <x:row r="88">
      <x:c r="A88" s="141" t="str">
        <x:v>Q-084</x:v>
      </x:c>
      <x:c r="B88" s="139" t="str">
        <x:v>Terjatve, krediti in izterjava</x:v>
      </x:c>
      <x:c r="C88" s="139" t="str">
        <x:v>Koliko računov je izdanih z zamudo ali zavrnjenih?</x:v>
      </x:c>
      <x:c r="D88" s="139" t="str">
        <x:v>dogodki/%</x:v>
      </x:c>
      <x:c r="E88" s="139" t="str">
        <x:v>procesni del DSO</x:v>
      </x:c>
      <x:c r="F88" s="165" t="str">
        <x:v>razširjeni</x:v>
      </x:c>
      <x:c r="G88" s="165" t="str">
        <x:v>pogojno</x:v>
      </x:c>
      <x:c r="H88" s="139" t="str">
        <x:v>Prikaži le, če je modul izbran ali ga sproži poslovni profil</x:v>
      </x:c>
    </x:row>
    <x:row r="89">
      <x:c r="A89" s="141" t="str">
        <x:v>Q-085</x:v>
      </x:c>
      <x:c r="B89" s="139" t="str">
        <x:v>Terjatve, krediti in izterjava</x:v>
      </x:c>
      <x:c r="C89" s="139" t="str">
        <x:v>Kakšni so najpogostejši razlogi zavrnitve?</x:v>
      </x:c>
      <x:c r="D89" s="139" t="str">
        <x:v>razlog + delež</x:v>
      </x:c>
      <x:c r="E89" s="139" t="str">
        <x:v>naslovljivost</x:v>
      </x:c>
      <x:c r="F89" s="165" t="str">
        <x:v>razširjeni</x:v>
      </x:c>
      <x:c r="G89" s="165" t="str">
        <x:v>pogojno</x:v>
      </x:c>
      <x:c r="H89" s="139" t="str">
        <x:v>Prikaži le, če je modul izbran ali ga sproži poslovni profil</x:v>
      </x:c>
    </x:row>
    <x:row r="90">
      <x:c r="A90" s="141" t="str">
        <x:v>Q-086</x:v>
      </x:c>
      <x:c r="B90" s="139" t="str">
        <x:v>Terjatve, krediti in izterjava</x:v>
      </x:c>
      <x:c r="C90" s="139" t="str">
        <x:v>Koliko opominov in IOP pripravite ter koliko časa porabite?</x:v>
      </x:c>
      <x:c r="D90" s="139" t="str">
        <x:v>količina + ure</x:v>
      </x:c>
      <x:c r="E90" s="139" t="str">
        <x:v>kapaciteta</x:v>
      </x:c>
      <x:c r="F90" s="165" t="str">
        <x:v>razširjeni</x:v>
      </x:c>
      <x:c r="G90" s="165" t="str">
        <x:v>pogojno</x:v>
      </x:c>
      <x:c r="H90" s="139" t="str">
        <x:v>Prikaži le, če je modul izbran ali ga sproži poslovni profil</x:v>
      </x:c>
    </x:row>
    <x:row r="91">
      <x:c r="A91" s="141" t="str">
        <x:v>Q-087</x:v>
      </x:c>
      <x:c r="B91" s="139" t="str">
        <x:v>Terjatve, krediti in izterjava</x:v>
      </x:c>
      <x:c r="C91" s="139" t="str">
        <x:v>Kolikšni so odpisi in zunanji stroški izterjave?</x:v>
      </x:c>
      <x:c r="D91" s="139" t="str">
        <x:v>EUR/leto</x:v>
      </x:c>
      <x:c r="E91" s="139" t="str">
        <x:v>neposredni strošek</x:v>
      </x:c>
      <x:c r="F91" s="165" t="str">
        <x:v>razširjeni</x:v>
      </x:c>
      <x:c r="G91" s="165" t="str">
        <x:v>pogojno</x:v>
      </x:c>
      <x:c r="H91" s="139" t="str">
        <x:v>Prikaži le, če je modul izbran ali ga sproži poslovni profil</x:v>
      </x:c>
    </x:row>
    <x:row r="92">
      <x:c r="A92" s="141" t="str">
        <x:v>Q-088</x:v>
      </x:c>
      <x:c r="B92" s="139" t="str">
        <x:v>Terjatve, krediti in izterjava</x:v>
      </x:c>
      <x:c r="C92" s="139" t="str">
        <x:v>Ali se boniteta in kreditni limit preverita pred naročilom?</x:v>
      </x:c>
      <x:c r="D92" s="139" t="str">
        <x:v>da/delno/ne</x:v>
      </x:c>
      <x:c r="E92" s="139" t="str">
        <x:v>preventivna kontrola</x:v>
      </x:c>
      <x:c r="F92" s="165" t="str">
        <x:v>razširjeni</x:v>
      </x:c>
      <x:c r="G92" s="165" t="str">
        <x:v>pogojno</x:v>
      </x:c>
      <x:c r="H92" s="139" t="str">
        <x:v>Prikaži le, če je modul izbran ali ga sproži poslovni profil</x:v>
      </x:c>
    </x:row>
    <x:row r="93">
      <x:c r="A93" s="141" t="str">
        <x:v>Q-089</x:v>
      </x:c>
      <x:c r="B93" s="139" t="str">
        <x:v>Terjatve, krediti in izterjava</x:v>
      </x:c>
      <x:c r="C93" s="139" t="str">
        <x:v>Kolikšna je dejanska mejna financirna stopnja?</x:v>
      </x:c>
      <x:c r="D93" s="139" t="str">
        <x:v>%</x:v>
      </x:c>
      <x:c r="E93" s="139" t="str">
        <x:v>strošek kapitala</x:v>
      </x:c>
      <x:c r="F93" s="165" t="str">
        <x:v>razširjeni</x:v>
      </x:c>
      <x:c r="G93" s="165" t="str">
        <x:v>priporočeno</x:v>
      </x:c>
      <x:c r="H93" s="139" t="str">
        <x:v>Prikaži le, če je modul izbran ali ga sproži poslovni profil</x:v>
      </x:c>
    </x:row>
    <x:row r="94">
      <x:c r="A94" s="141" t="str">
        <x:v>Q-090</x:v>
      </x:c>
      <x:c r="B94" s="139" t="str">
        <x:v>Marža, cost-to-serve in analitika</x:v>
      </x:c>
      <x:c r="C94" s="139" t="str">
        <x:v>Ali poznate bruto in prispevno maržo po artiklu, kupcu in naročilu?</x:v>
      </x:c>
      <x:c r="D94" s="139" t="str">
        <x:v>matrika da/delno/ne</x:v>
      </x:c>
      <x:c r="E94" s="139" t="str">
        <x:v>analitična zrelost</x:v>
      </x:c>
      <x:c r="F94" s="165" t="str">
        <x:v>razširjeni</x:v>
      </x:c>
      <x:c r="G94" s="165" t="str">
        <x:v>pogojno</x:v>
      </x:c>
      <x:c r="H94" s="139" t="str">
        <x:v>Prikaži le, če je modul izbran ali ga sproži poslovni profil</x:v>
      </x:c>
    </x:row>
    <x:row r="95">
      <x:c r="A95" s="141" t="str">
        <x:v>Q-091</x:v>
      </x:c>
      <x:c r="B95" s="139" t="str">
        <x:v>Marža, cost-to-serve in analitika</x:v>
      </x:c>
      <x:c r="C95" s="139" t="str">
        <x:v>Ali marža upošteva bonuse, transport, vračila in obdelavo?</x:v>
      </x:c>
      <x:c r="D95" s="139" t="str">
        <x:v>več izbir</x:v>
      </x:c>
      <x:c r="E95" s="139" t="str">
        <x:v>kakovost definicije</x:v>
      </x:c>
      <x:c r="F95" s="165" t="str">
        <x:v>razširjeni</x:v>
      </x:c>
      <x:c r="G95" s="165" t="str">
        <x:v>pogojno</x:v>
      </x:c>
      <x:c r="H95" s="139" t="str">
        <x:v>Prikaži le, če je modul izbran ali ga sproži poslovni profil</x:v>
      </x:c>
    </x:row>
    <x:row r="96">
      <x:c r="A96" s="141" t="str">
        <x:v>Q-092</x:v>
      </x:c>
      <x:c r="B96" s="139" t="str">
        <x:v>Marža, cost-to-serve in analitika</x:v>
      </x:c>
      <x:c r="C96" s="139" t="str">
        <x:v>Koliko naročil je pod ciljno minimalno maržo?</x:v>
      </x:c>
      <x:c r="D96" s="139" t="str">
        <x:v>%/EUR</x:v>
      </x:c>
      <x:c r="E96" s="139" t="str">
        <x:v>izpostavljenost</x:v>
      </x:c>
      <x:c r="F96" s="165" t="str">
        <x:v>razširjeni</x:v>
      </x:c>
      <x:c r="G96" s="165" t="str">
        <x:v>pogojno</x:v>
      </x:c>
      <x:c r="H96" s="139" t="str">
        <x:v>Prikaži le, če je modul izbran ali ga sproži poslovni profil</x:v>
      </x:c>
    </x:row>
    <x:row r="97">
      <x:c r="A97" s="141" t="str">
        <x:v>Q-093</x:v>
      </x:c>
      <x:c r="B97" s="139" t="str">
        <x:v>Marža, cost-to-serve in analitika</x:v>
      </x:c>
      <x:c r="C97" s="139" t="str">
        <x:v>Koliko kupcev ustvarja negativni neto prispevek?</x:v>
      </x:c>
      <x:c r="D97" s="139" t="str">
        <x:v>število/%</x:v>
      </x:c>
      <x:c r="E97" s="139" t="str">
        <x:v>cost-to-serve</x:v>
      </x:c>
      <x:c r="F97" s="165" t="str">
        <x:v>razširjeni</x:v>
      </x:c>
      <x:c r="G97" s="165" t="str">
        <x:v>pogojno</x:v>
      </x:c>
      <x:c r="H97" s="139" t="str">
        <x:v>Prikaži le, če je modul izbran ali ga sproži poslovni profil</x:v>
      </x:c>
    </x:row>
    <x:row r="98">
      <x:c r="A98" s="141" t="str">
        <x:v>Q-094</x:v>
      </x:c>
      <x:c r="B98" s="139" t="str">
        <x:v>Marža, cost-to-serve in analitika</x:v>
      </x:c>
      <x:c r="C98" s="139" t="str">
        <x:v>Koliko ur mesečno gre za pripravo poročil in usklajevanje razlik?</x:v>
      </x:c>
      <x:c r="D98" s="139" t="str">
        <x:v>ure</x:v>
      </x:c>
      <x:c r="E98" s="139" t="str">
        <x:v>kapaciteta</x:v>
      </x:c>
      <x:c r="F98" s="165" t="str">
        <x:v>razširjeni</x:v>
      </x:c>
      <x:c r="G98" s="165" t="str">
        <x:v>pogojno</x:v>
      </x:c>
      <x:c r="H98" s="139" t="str">
        <x:v>Prikaži le, če je modul izbran ali ga sproži poslovni profil</x:v>
      </x:c>
    </x:row>
    <x:row r="99">
      <x:c r="A99" s="141" t="str">
        <x:v>Q-095</x:v>
      </x:c>
      <x:c r="B99" s="139" t="str">
        <x:v>Marža, cost-to-serve in analitika</x:v>
      </x:c>
      <x:c r="C99" s="139" t="str">
        <x:v>Koliko virov in Excel datotek se združuje?</x:v>
      </x:c>
      <x:c r="D99" s="139" t="str">
        <x:v>število</x:v>
      </x:c>
      <x:c r="E99" s="139" t="str">
        <x:v>kompleksnost</x:v>
      </x:c>
      <x:c r="F99" s="165" t="str">
        <x:v>razširjeni</x:v>
      </x:c>
      <x:c r="G99" s="165" t="str">
        <x:v>pogojno</x:v>
      </x:c>
      <x:c r="H99" s="139" t="str">
        <x:v>Prikaži le, če je modul izbran ali ga sproži poslovni profil</x:v>
      </x:c>
    </x:row>
    <x:row r="100">
      <x:c r="A100" s="141" t="str">
        <x:v>Q-096</x:v>
      </x:c>
      <x:c r="B100" s="139" t="str">
        <x:v>Marža, cost-to-serve in analitika</x:v>
      </x:c>
      <x:c r="C100" s="139" t="str">
        <x:v>Kako stari so podatki ob cenovni, nabavni in kreditni odločitvi?</x:v>
      </x:c>
      <x:c r="D100" s="139" t="str">
        <x:v>dnevi/ure</x:v>
      </x:c>
      <x:c r="E100" s="139" t="str">
        <x:v>odzivnost</x:v>
      </x:c>
      <x:c r="F100" s="165" t="str">
        <x:v>razširjeni</x:v>
      </x:c>
      <x:c r="G100" s="165" t="str">
        <x:v>pogojno</x:v>
      </x:c>
      <x:c r="H100" s="139" t="str">
        <x:v>Prikaži le, če je modul izbran ali ga sproži poslovni profil</x:v>
      </x:c>
    </x:row>
    <x:row r="101">
      <x:c r="A101" s="141" t="str">
        <x:v>Q-097</x:v>
      </x:c>
      <x:c r="B101" s="139" t="str">
        <x:v>Marža, cost-to-serve in analitika</x:v>
      </x:c>
      <x:c r="C101" s="139" t="str">
        <x:v>Kateri KPI imajo formalnega lastnika, cilj in redni pregled?</x:v>
      </x:c>
      <x:c r="D101" s="139" t="str">
        <x:v>matrika</x:v>
      </x:c>
      <x:c r="E101" s="139" t="str">
        <x:v>upravljavska disciplina</x:v>
      </x:c>
      <x:c r="F101" s="165" t="str">
        <x:v>razširjeni</x:v>
      </x:c>
      <x:c r="G101" s="165" t="str">
        <x:v>pogojno</x:v>
      </x:c>
      <x:c r="H101" s="139" t="str">
        <x:v>Prikaži le, če je modul izbran ali ga sproži poslovni profil</x:v>
      </x:c>
    </x:row>
    <x:row r="102">
      <x:c r="A102" s="141" t="str">
        <x:v>Q-098</x:v>
      </x:c>
      <x:c r="B102" s="139" t="str">
        <x:v>Marža, cost-to-serve in analitika</x:v>
      </x:c>
      <x:c r="C102" s="139" t="str">
        <x:v>Ali lahko vodstvo sledi DIO, DSO, fill rate, OTIF in aged stock?</x:v>
      </x:c>
      <x:c r="D102" s="139" t="str">
        <x:v>da/delno/ne</x:v>
      </x:c>
      <x:c r="E102" s="139" t="str">
        <x:v>pokritost</x:v>
      </x:c>
      <x:c r="F102" s="165" t="str">
        <x:v>razširjeni</x:v>
      </x:c>
      <x:c r="G102" s="165" t="str">
        <x:v>pogojno</x:v>
      </x:c>
      <x:c r="H102" s="139" t="str">
        <x:v>Prikaži le, če je modul izbran ali ga sproži poslovni profil</x:v>
      </x:c>
    </x:row>
    <x:row r="103">
      <x:c r="A103" s="141" t="str">
        <x:v>Q-099</x:v>
      </x:c>
      <x:c r="B103" s="139" t="str">
        <x:v>Računovodstvo in finance</x:v>
      </x:c>
      <x:c r="C103" s="139" t="str">
        <x:v>Koliko prejetih in izdanih računov obdelate mesečno?</x:v>
      </x:c>
      <x:c r="D103" s="139" t="str">
        <x:v>število</x:v>
      </x:c>
      <x:c r="E103" s="139" t="str">
        <x:v>obseg</x:v>
      </x:c>
      <x:c r="F103" s="165" t="str">
        <x:v>razširjeni</x:v>
      </x:c>
      <x:c r="G103" s="165" t="str">
        <x:v>priporočeno</x:v>
      </x:c>
      <x:c r="H103" s="139" t="str">
        <x:v>Prikaži le, če je modul izbran ali ga sproži poslovni profil</x:v>
      </x:c>
    </x:row>
    <x:row r="104">
      <x:c r="A104" s="141" t="str">
        <x:v>Q-100</x:v>
      </x:c>
      <x:c r="B104" s="139" t="str">
        <x:v>Računovodstvo in finance</x:v>
      </x:c>
      <x:c r="C104" s="139" t="str">
        <x:v>Kolikšen delež je strukturiran, OCR-zajet in ročno vnesen?</x:v>
      </x:c>
      <x:c r="D104" s="139" t="str">
        <x:v>porazdelitev</x:v>
      </x:c>
      <x:c r="E104" s="139" t="str">
        <x:v>avtomatizacija</x:v>
      </x:c>
      <x:c r="F104" s="165" t="str">
        <x:v>razširjeni</x:v>
      </x:c>
      <x:c r="G104" s="165" t="str">
        <x:v>pogojno</x:v>
      </x:c>
      <x:c r="H104" s="139" t="str">
        <x:v>Prikaži le, če je modul izbran ali ga sproži poslovni profil</x:v>
      </x:c>
    </x:row>
    <x:row r="105">
      <x:c r="A105" s="141" t="str">
        <x:v>Q-101</x:v>
      </x:c>
      <x:c r="B105" s="139" t="str">
        <x:v>Računovodstvo in finance</x:v>
      </x:c>
      <x:c r="C105" s="139" t="str">
        <x:v>Koliko minut neposrednega dela zahteva račun po tipu?</x:v>
      </x:c>
      <x:c r="D105" s="139" t="str">
        <x:v>minute</x:v>
      </x:c>
      <x:c r="E105" s="139" t="str">
        <x:v>strošek obdelave</x:v>
      </x:c>
      <x:c r="F105" s="165" t="str">
        <x:v>razširjeni</x:v>
      </x:c>
      <x:c r="G105" s="165" t="str">
        <x:v>pogojno</x:v>
      </x:c>
      <x:c r="H105" s="139" t="str">
        <x:v>Prikaži le, če je modul izbran ali ga sproži poslovni profil</x:v>
      </x:c>
    </x:row>
    <x:row r="106">
      <x:c r="A106" s="141" t="str">
        <x:v>Q-102</x:v>
      </x:c>
      <x:c r="B106" s="139" t="str">
        <x:v>Računovodstvo in finance</x:v>
      </x:c>
      <x:c r="C106" s="139" t="str">
        <x:v>Kolikšen delež se ujema z naročilom in prevzemom brez izjeme?</x:v>
      </x:c>
      <x:c r="D106" s="139" t="str">
        <x:v>%</x:v>
      </x:c>
      <x:c r="E106" s="139" t="str">
        <x:v>first-pass match</x:v>
      </x:c>
      <x:c r="F106" s="165" t="str">
        <x:v>razširjeni</x:v>
      </x:c>
      <x:c r="G106" s="165" t="str">
        <x:v>pogojno</x:v>
      </x:c>
      <x:c r="H106" s="139" t="str">
        <x:v>Prikaži le, če je modul izbran ali ga sproži poslovni profil</x:v>
      </x:c>
    </x:row>
    <x:row r="107">
      <x:c r="A107" s="141" t="str">
        <x:v>Q-103</x:v>
      </x:c>
      <x:c r="B107" s="139" t="str">
        <x:v>Računovodstvo in finance</x:v>
      </x:c>
      <x:c r="C107" s="139" t="str">
        <x:v>Koliko časa traja od prejema do knjiženja in odobritve?</x:v>
      </x:c>
      <x:c r="D107" s="139" t="str">
        <x:v>dnevi</x:v>
      </x:c>
      <x:c r="E107" s="139" t="str">
        <x:v>cikel</x:v>
      </x:c>
      <x:c r="F107" s="165" t="str">
        <x:v>razširjeni</x:v>
      </x:c>
      <x:c r="G107" s="165" t="str">
        <x:v>pogojno</x:v>
      </x:c>
      <x:c r="H107" s="139" t="str">
        <x:v>Prikaži le, če je modul izbran ali ga sproži poslovni profil</x:v>
      </x:c>
    </x:row>
    <x:row r="108">
      <x:c r="A108" s="141" t="str">
        <x:v>Q-104</x:v>
      </x:c>
      <x:c r="B108" s="139" t="str">
        <x:v>Računovodstvo in finance</x:v>
      </x:c>
      <x:c r="C108" s="139" t="str">
        <x:v>Koliko ur zahtevajo bančne, kartične in IOP uskladitve?</x:v>
      </x:c>
      <x:c r="D108" s="139" t="str">
        <x:v>ure/mesec</x:v>
      </x:c>
      <x:c r="E108" s="139" t="str">
        <x:v>kapaciteta</x:v>
      </x:c>
      <x:c r="F108" s="165" t="str">
        <x:v>razširjeni</x:v>
      </x:c>
      <x:c r="G108" s="165" t="str">
        <x:v>pogojno</x:v>
      </x:c>
      <x:c r="H108" s="139" t="str">
        <x:v>Prikaži le, če je modul izbran ali ga sproži poslovni profil</x:v>
      </x:c>
    </x:row>
    <x:row r="109">
      <x:c r="A109" s="141" t="str">
        <x:v>Q-105</x:v>
      </x:c>
      <x:c r="B109" s="139" t="str">
        <x:v>Računovodstvo in finance</x:v>
      </x:c>
      <x:c r="C109" s="139" t="str">
        <x:v>Koliko dni po koncu obdobja je zaključek pripravljen?</x:v>
      </x:c>
      <x:c r="D109" s="139" t="str">
        <x:v>dnevi</x:v>
      </x:c>
      <x:c r="E109" s="139" t="str">
        <x:v>hitrost poročanja</x:v>
      </x:c>
      <x:c r="F109" s="165" t="str">
        <x:v>razširjeni</x:v>
      </x:c>
      <x:c r="G109" s="165" t="str">
        <x:v>pogojno</x:v>
      </x:c>
      <x:c r="H109" s="139" t="str">
        <x:v>Prikaži le, če je modul izbran ali ga sproži poslovni profil</x:v>
      </x:c>
    </x:row>
    <x:row r="110">
      <x:c r="A110" s="141" t="str">
        <x:v>Q-106</x:v>
      </x:c>
      <x:c r="B110" s="139" t="str">
        <x:v>Računovodstvo in finance</x:v>
      </x:c>
      <x:c r="C110" s="139" t="str">
        <x:v>Koliko popravkov nastane po zaključku?</x:v>
      </x:c>
      <x:c r="D110" s="139" t="str">
        <x:v>dogodki</x:v>
      </x:c>
      <x:c r="E110" s="139" t="str">
        <x:v>kakovost</x:v>
      </x:c>
      <x:c r="F110" s="165" t="str">
        <x:v>razširjeni</x:v>
      </x:c>
      <x:c r="G110" s="165" t="str">
        <x:v>pogojno</x:v>
      </x:c>
      <x:c r="H110" s="139" t="str">
        <x:v>Prikaži le, če je modul izbran ali ga sproži poslovni profil</x:v>
      </x:c>
    </x:row>
    <x:row r="111">
      <x:c r="A111" s="141" t="str">
        <x:v>Q-107</x:v>
      </x:c>
      <x:c r="B111" s="139" t="str">
        <x:v>Dokumentacija, EDI in e-poslovanje</x:v>
      </x:c>
      <x:c r="C111" s="139" t="str">
        <x:v>Koliko dokumentov mesečno zahteva iskanje, razvrščanje ali odobritev?</x:v>
      </x:c>
      <x:c r="D111" s="139" t="str">
        <x:v>število</x:v>
      </x:c>
      <x:c r="E111" s="139" t="str">
        <x:v>obseg</x:v>
      </x:c>
      <x:c r="F111" s="165" t="str">
        <x:v>razširjeni</x:v>
      </x:c>
      <x:c r="G111" s="165" t="str">
        <x:v>priporočeno</x:v>
      </x:c>
      <x:c r="H111" s="139" t="str">
        <x:v>Prikaži le, če je modul izbran ali ga sproži poslovni profil</x:v>
      </x:c>
    </x:row>
    <x:row r="112">
      <x:c r="A112" s="141" t="str">
        <x:v>Q-108</x:v>
      </x:c>
      <x:c r="B112" s="139" t="str">
        <x:v>Dokumentacija, EDI in e-poslovanje</x:v>
      </x:c>
      <x:c r="C112" s="139" t="str">
        <x:v>Koliko časa gre za iskanje in ponovno pošiljanje?</x:v>
      </x:c>
      <x:c r="D112" s="139" t="str">
        <x:v>ure/mesec</x:v>
      </x:c>
      <x:c r="E112" s="139" t="str">
        <x:v>kapaciteta</x:v>
      </x:c>
      <x:c r="F112" s="165" t="str">
        <x:v>razširjeni</x:v>
      </x:c>
      <x:c r="G112" s="165" t="str">
        <x:v>pogojno</x:v>
      </x:c>
      <x:c r="H112" s="139" t="str">
        <x:v>Prikaži le, če je modul izbran ali ga sproži poslovni profil</x:v>
      </x:c>
    </x:row>
    <x:row r="113">
      <x:c r="A113" s="141" t="str">
        <x:v>Q-109</x:v>
      </x:c>
      <x:c r="B113" s="139" t="str">
        <x:v>Dokumentacija, EDI in e-poslovanje</x:v>
      </x:c>
      <x:c r="C113" s="139" t="str">
        <x:v>Kolikšen delež dokumentov ima enotno digitalno lokacijo in revizijsko sled?</x:v>
      </x:c>
      <x:c r="D113" s="139" t="str">
        <x:v>%</x:v>
      </x:c>
      <x:c r="E113" s="139" t="str">
        <x:v>zrelost</x:v>
      </x:c>
      <x:c r="F113" s="165" t="str">
        <x:v>razširjeni</x:v>
      </x:c>
      <x:c r="G113" s="165" t="str">
        <x:v>pogojno</x:v>
      </x:c>
      <x:c r="H113" s="139" t="str">
        <x:v>Prikaži le, če je modul izbran ali ga sproži poslovni profil</x:v>
      </x:c>
    </x:row>
    <x:row r="114">
      <x:c r="A114" s="141" t="str">
        <x:v>Q-110</x:v>
      </x:c>
      <x:c r="B114" s="139" t="str">
        <x:v>Dokumentacija, EDI in e-poslovanje</x:v>
      </x:c>
      <x:c r="C114" s="139" t="str">
        <x:v>Koliko dokumentov se izmenjuje kot EDI/XML in koliko kot PDF?</x:v>
      </x:c>
      <x:c r="D114" s="139" t="str">
        <x:v>porazdelitev</x:v>
      </x:c>
      <x:c r="E114" s="139" t="str">
        <x:v>strukturiranost</x:v>
      </x:c>
      <x:c r="F114" s="165" t="str">
        <x:v>razširjeni</x:v>
      </x:c>
      <x:c r="G114" s="165" t="str">
        <x:v>pogojno</x:v>
      </x:c>
      <x:c r="H114" s="139" t="str">
        <x:v>Prikaži le, če je modul izbran ali ga sproži poslovni profil</x:v>
      </x:c>
    </x:row>
    <x:row r="115">
      <x:c r="A115" s="141" t="str">
        <x:v>Q-111</x:v>
      </x:c>
      <x:c r="B115" s="139" t="str">
        <x:v>Dokumentacija, EDI in e-poslovanje</x:v>
      </x:c>
      <x:c r="C115" s="139" t="str">
        <x:v>Koliko odobritev preseže dogovorjeni rok?</x:v>
      </x:c>
      <x:c r="D115" s="139" t="str">
        <x:v>%</x:v>
      </x:c>
      <x:c r="E115" s="139" t="str">
        <x:v>cikel</x:v>
      </x:c>
      <x:c r="F115" s="165" t="str">
        <x:v>razširjeni</x:v>
      </x:c>
      <x:c r="G115" s="165" t="str">
        <x:v>pogojno</x:v>
      </x:c>
      <x:c r="H115" s="139" t="str">
        <x:v>Prikaži le, če je modul izbran ali ga sproži poslovni profil</x:v>
      </x:c>
    </x:row>
    <x:row r="116">
      <x:c r="A116" s="141" t="str">
        <x:v>Q-112</x:v>
      </x:c>
      <x:c r="B116" s="139" t="str">
        <x:v>Dokumentacija, EDI in e-poslovanje</x:v>
      </x:c>
      <x:c r="C116" s="139" t="str">
        <x:v>Ali naročilo, dobavnica, prevzem in račun uporabljajo povezane reference?</x:v>
      </x:c>
      <x:c r="D116" s="139" t="str">
        <x:v>da/delno/ne</x:v>
      </x:c>
      <x:c r="E116" s="139" t="str">
        <x:v>avtomatsko ujemanje</x:v>
      </x:c>
      <x:c r="F116" s="165" t="str">
        <x:v>razširjeni</x:v>
      </x:c>
      <x:c r="G116" s="165" t="str">
        <x:v>pogojno</x:v>
      </x:c>
      <x:c r="H116" s="139" t="str">
        <x:v>Prikaži le, če je modul izbran ali ga sproži poslovni profil</x:v>
      </x:c>
    </x:row>
    <x:row r="117">
      <x:c r="A117" s="141" t="str">
        <x:v>Q-113</x:v>
      </x:c>
      <x:c r="B117" s="139" t="str">
        <x:v>Dokumentacija, EDI in e-poslovanje</x:v>
      </x:c>
      <x:c r="C117" s="139" t="str">
        <x:v>Koliko EDI/API prenosov odpove in kdo jih spremlja?</x:v>
      </x:c>
      <x:c r="D117" s="139" t="str">
        <x:v>dogodki + ure</x:v>
      </x:c>
      <x:c r="E117" s="139" t="str">
        <x:v>integracijski strošek</x:v>
      </x:c>
      <x:c r="F117" s="165" t="str">
        <x:v>razširjeni</x:v>
      </x:c>
      <x:c r="G117" s="165" t="str">
        <x:v>pogojno</x:v>
      </x:c>
      <x:c r="H117" s="139" t="str">
        <x:v>Prikaži le, če je modul izbran ali ga sproži poslovni profil</x:v>
      </x:c>
    </x:row>
    <x:row r="118">
      <x:c r="A118" s="141" t="str">
        <x:v>Q-114</x:v>
      </x:c>
      <x:c r="B118" s="139" t="str">
        <x:v>Dokumentacija, EDI in e-poslovanje</x:v>
      </x:c>
      <x:c r="C118" s="139" t="str">
        <x:v>Ali je podjetje pripravljeno na B2B e-račune 2028?</x:v>
      </x:c>
      <x:c r="D118" s="139" t="str">
        <x:v>stopnja</x:v>
      </x:c>
      <x:c r="E118" s="139" t="str">
        <x:v>regulatorna veja</x:v>
      </x:c>
      <x:c r="F118" s="165" t="str">
        <x:v>razširjeni</x:v>
      </x:c>
      <x:c r="G118" s="165" t="str">
        <x:v>pogojno</x:v>
      </x:c>
      <x:c r="H118" s="139" t="str">
        <x:v>Prikaži le, če je modul izbran ali ga sproži poslovni profil</x:v>
      </x:c>
    </x:row>
    <x:row r="119">
      <x:c r="A119" s="141" t="str">
        <x:v>Q-115</x:v>
      </x:c>
      <x:c r="B119" s="139" t="str">
        <x:v>Kadri, čas in sprememba</x:v>
      </x:c>
      <x:c r="C119" s="139" t="str">
        <x:v>Koliko zaposlenih/FTE dela v prodaji, nabavi, skladišču, logistiki, financah in administraciji?</x:v>
      </x:c>
      <x:c r="D119" s="139" t="str">
        <x:v>FTE po oddelku</x:v>
      </x:c>
      <x:c r="E119" s="139" t="str">
        <x:v>validacija kapacitete</x:v>
      </x:c>
      <x:c r="F119" s="165" t="str">
        <x:v>osnovni ali pogojni</x:v>
      </x:c>
      <x:c r="G119" s="165" t="str">
        <x:v>priporočeno</x:v>
      </x:c>
      <x:c r="H119" s="139" t="str">
        <x:v>Prikaži le, če je modul izbran ali ga sproži poslovni profil</x:v>
      </x:c>
    </x:row>
    <x:row r="120">
      <x:c r="A120" s="141" t="str">
        <x:v>Q-116</x:v>
      </x:c>
      <x:c r="B120" s="139" t="str">
        <x:v>Kadri, čas in sprememba</x:v>
      </x:c>
      <x:c r="C120" s="139" t="str">
        <x:v>Koliko rednih in nadurnih ur nastane po oddelku?</x:v>
      </x:c>
      <x:c r="D120" s="139" t="str">
        <x:v>ure/mesec</x:v>
      </x:c>
      <x:c r="E120" s="139" t="str">
        <x:v>baseline</x:v>
      </x:c>
      <x:c r="F120" s="165" t="str">
        <x:v>razširjeni</x:v>
      </x:c>
      <x:c r="G120" s="165" t="str">
        <x:v>pogojno</x:v>
      </x:c>
      <x:c r="H120" s="139" t="str">
        <x:v>Prikaži le, če je modul izbran ali ga sproži poslovni profil</x:v>
      </x:c>
    </x:row>
    <x:row r="121">
      <x:c r="A121" s="141" t="str">
        <x:v>Q-117</x:v>
      </x:c>
      <x:c r="B121" s="139" t="str">
        <x:v>Kadri, čas in sprememba</x:v>
      </x:c>
      <x:c r="C121" s="139" t="str">
        <x:v>Kolikšen delež nadur je sezonski, rastni ali procesno izogibljiv?</x:v>
      </x:c>
      <x:c r="D121" s="139" t="str">
        <x:v>porazdelitev</x:v>
      </x:c>
      <x:c r="E121" s="139" t="str">
        <x:v>naslovljivost</x:v>
      </x:c>
      <x:c r="F121" s="165" t="str">
        <x:v>razširjeni</x:v>
      </x:c>
      <x:c r="G121" s="165" t="str">
        <x:v>pogojno</x:v>
      </x:c>
      <x:c r="H121" s="139" t="str">
        <x:v>Prikaži le, če je modul izbran ali ga sproži poslovni profil</x:v>
      </x:c>
    </x:row>
    <x:row r="122">
      <x:c r="A122" s="141" t="str">
        <x:v>Q-118</x:v>
      </x:c>
      <x:c r="B122" s="139" t="str">
        <x:v>Kadri, čas in sprememba</x:v>
      </x:c>
      <x:c r="C122" s="139" t="str">
        <x:v>Koliko časa zahtevajo evidence, dopusti, razporedi in plače?</x:v>
      </x:c>
      <x:c r="D122" s="139" t="str">
        <x:v>ure/mesec</x:v>
      </x:c>
      <x:c r="E122" s="139" t="str">
        <x:v>kapaciteta</x:v>
      </x:c>
      <x:c r="F122" s="165" t="str">
        <x:v>razširjeni</x:v>
      </x:c>
      <x:c r="G122" s="165" t="str">
        <x:v>pogojno</x:v>
      </x:c>
      <x:c r="H122" s="139" t="str">
        <x:v>Prikaži le, če je modul izbran ali ga sproži poslovni profil</x:v>
      </x:c>
    </x:row>
    <x:row r="123">
      <x:c r="A123" s="141" t="str">
        <x:v>Q-119</x:v>
      </x:c>
      <x:c r="B123" s="139" t="str">
        <x:v>Kadri, čas in sprememba</x:v>
      </x:c>
      <x:c r="C123" s="139" t="str">
        <x:v>Koliko časa traja uvajanje novega sodelavca do samostojnosti?</x:v>
      </x:c>
      <x:c r="D123" s="139" t="str">
        <x:v>dnevi/ure mentorja</x:v>
      </x:c>
      <x:c r="E123" s="139" t="str">
        <x:v>standardizacija</x:v>
      </x:c>
      <x:c r="F123" s="165" t="str">
        <x:v>razširjeni</x:v>
      </x:c>
      <x:c r="G123" s="165" t="str">
        <x:v>pogojno</x:v>
      </x:c>
      <x:c r="H123" s="139" t="str">
        <x:v>Prikaži le, če je modul izbran ali ga sproži poslovni profil</x:v>
      </x:c>
    </x:row>
    <x:row r="124">
      <x:c r="A124" s="141" t="str">
        <x:v>Q-120</x:v>
      </x:c>
      <x:c r="B124" s="139" t="str">
        <x:v>Kadri, čas in sprememba</x:v>
      </x:c>
      <x:c r="C124" s="139" t="str">
        <x:v>Kolikšna je fluktuacija in uporaba agencijskega dela?</x:v>
      </x:c>
      <x:c r="D124" s="139" t="str">
        <x:v>% in EUR</x:v>
      </x:c>
      <x:c r="E124" s="139" t="str">
        <x:v>neposredni strošek</x:v>
      </x:c>
      <x:c r="F124" s="165" t="str">
        <x:v>razširjeni</x:v>
      </x:c>
      <x:c r="G124" s="165" t="str">
        <x:v>pogojno</x:v>
      </x:c>
      <x:c r="H124" s="139" t="str">
        <x:v>Prikaži le, če je modul izbran ali ga sproži poslovni profil</x:v>
      </x:c>
    </x:row>
    <x:row r="125">
      <x:c r="A125" s="141" t="str">
        <x:v>Q-121</x:v>
      </x:c>
      <x:c r="B125" s="139" t="str">
        <x:v>Kadri, čas in sprememba</x:v>
      </x:c>
      <x:c r="C125" s="139" t="str">
        <x:v>Katere vloge bodo uporabljale novo rešitev in koliko pogosto?</x:v>
      </x:c>
      <x:c r="D125" s="139" t="str">
        <x:v>uporabniki/role</x:v>
      </x:c>
      <x:c r="E125" s="139" t="str">
        <x:v>licence in adoption</x:v>
      </x:c>
      <x:c r="F125" s="165" t="str">
        <x:v>razširjeni</x:v>
      </x:c>
      <x:c r="G125" s="165" t="str">
        <x:v>pogojno</x:v>
      </x:c>
      <x:c r="H125" s="139" t="str">
        <x:v>Prikaži le, če je modul izbran ali ga sproži poslovni profil</x:v>
      </x:c>
    </x:row>
    <x:row r="126">
      <x:c r="A126" s="144" t="str">
        <x:v>Q-122</x:v>
      </x:c>
      <x:c r="B126" s="145" t="str">
        <x:v>Kadri, čas in sprememba</x:v>
      </x:c>
      <x:c r="C126" s="145" t="str">
        <x:v>Koliko internih ur bo potrebnih za podatke, testiranje in izobraževanje?</x:v>
      </x:c>
      <x:c r="D126" s="145" t="str">
        <x:v>ure po vlogi</x:v>
      </x:c>
      <x:c r="E126" s="145" t="str">
        <x:v>investicija</x:v>
      </x:c>
      <x:c r="F126" s="166" t="str">
        <x:v>razširjeni</x:v>
      </x:c>
      <x:c r="G126" s="166" t="str">
        <x:v>pogojno</x:v>
      </x:c>
      <x:c r="H126" s="145" t="str">
        <x:v>Prikaži le, če je modul izbran ali ga sproži poslovni profil</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20" hidden="0" customWidth="1"/>
    <x:col min="4" max="4" width="48" hidden="0" customWidth="1"/>
    <x:col min="5" max="5" width="16" hidden="0" customWidth="1"/>
    <x:col min="6" max="6" width="13" hidden="0" customWidth="1"/>
    <x:col min="7" max="7" width="13" hidden="0" customWidth="1"/>
    <x:col min="8" max="8" width="13" hidden="0" customWidth="1"/>
    <x:col min="9" max="9" width="15" hidden="0" customWidth="1"/>
    <x:col min="10" max="10" width="15" hidden="0" customWidth="1"/>
    <x:col min="11" max="11" width="15" hidden="0" customWidth="1"/>
    <x:col min="12" max="12" width="16" hidden="0" customWidth="1"/>
    <x:col min="13" max="13" width="16" hidden="0" customWidth="1"/>
    <x:col min="14" max="14" width="16"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1" hidden="0" customWidth="1"/>
    <x:col min="22" max="22" width="11" hidden="0" customWidth="1"/>
    <x:col min="23" max="23" width="11" hidden="0" customWidth="1"/>
    <x:col min="24" max="24" width="15" hidden="0" customWidth="1"/>
    <x:col min="25" max="25" width="15" hidden="0" customWidth="1"/>
    <x:col min="26" max="26" width="15" hidden="0" customWidth="1"/>
    <x:col min="27" max="27" width="13" hidden="0" customWidth="1"/>
    <x:col min="28" max="28" width="12" hidden="0" customWidth="1"/>
    <x:col min="29" max="29" width="10" hidden="0" customWidth="1"/>
    <x:col min="30" max="30" width="54" hidden="0" customWidth="1"/>
  </x:cols>
  <x:sheetData>
    <x:row r="1" ht="34" customHeight="1">
      <x:c r="A1" s="151" t="str">
        <x:v>Register merjenih izgub</x:v>
      </x:c>
      <x:c r="B1" s="120"/>
      <x:c r="C1" s="120"/>
      <x:c r="D1" s="120"/>
      <x:c r="E1" s="120"/>
      <x:c r="F1" s="120"/>
      <x:c r="G1" s="120"/>
      <x:c r="H1" s="120"/>
      <x:c r="I1" s="120"/>
      <x:c r="J1" s="120"/>
      <x:c r="K1" s="120"/>
      <x:c r="L1" s="120"/>
      <x:c r="M1" s="120"/>
      <x:c r="N1" s="120"/>
      <x:c r="O1" s="120"/>
      <x:c r="P1" s="120"/>
      <x:c r="Q1" s="120"/>
      <x:c r="R1" s="120"/>
      <x:c r="S1" s="120"/>
      <x:c r="T1" s="120"/>
      <x:c r="U1" s="120"/>
      <x:c r="V1" s="120"/>
      <x:c r="W1" s="120"/>
      <x:c r="X1" s="120"/>
      <x:c r="Y1" s="120"/>
      <x:c r="Z1" s="120"/>
      <x:c r="AA1" s="120"/>
      <x:c r="AB1" s="120"/>
      <x:c r="AC1" s="120"/>
      <x:c r="AD1" s="120"/>
    </x:row>
    <x:row r="2" ht="28" customHeight="1">
      <x:c r="A2" s="121" t="str">
        <x:v>Vnesi letne količine, neto strošek ter tri faktorje naslovljivosti; formule izračunajo realistični potencial po scenarijih</x:v>
      </x:c>
      <x:c r="B2" s="120"/>
      <x:c r="C2" s="120"/>
      <x:c r="D2" s="120"/>
      <x:c r="E2" s="120"/>
      <x:c r="F2" s="120"/>
      <x:c r="G2" s="120"/>
      <x:c r="H2" s="120"/>
      <x:c r="I2" s="120"/>
      <x:c r="J2" s="120"/>
      <x:c r="K2" s="120"/>
      <x:c r="L2" s="120"/>
      <x:c r="M2" s="120"/>
      <x:c r="N2" s="120"/>
      <x:c r="O2" s="120"/>
      <x:c r="P2" s="120"/>
      <x:c r="Q2" s="120"/>
      <x:c r="R2" s="120"/>
      <x:c r="S2" s="120"/>
      <x:c r="T2" s="120"/>
      <x:c r="U2" s="120"/>
      <x:c r="V2" s="120"/>
      <x:c r="W2" s="120"/>
      <x:c r="X2" s="120"/>
      <x:c r="Y2" s="120"/>
      <x:c r="Z2" s="120"/>
      <x:c r="AA2" s="120"/>
      <x:c r="AB2" s="120"/>
      <x:c r="AC2" s="120"/>
      <x:c r="AD2" s="120"/>
    </x:row>
    <x:row r="3">
      <x:c r="A3" s="120"/>
      <x:c r="B3" s="120"/>
      <x:c r="C3" s="120"/>
      <x:c r="D3" s="120"/>
      <x:c r="E3" s="120"/>
      <x:c r="F3" s="120"/>
      <x:c r="G3" s="120"/>
      <x:c r="H3" s="120"/>
      <x:c r="I3" s="120"/>
      <x:c r="J3" s="120"/>
      <x:c r="K3" s="120"/>
      <x:c r="L3" s="120"/>
      <x:c r="M3" s="120"/>
      <x:c r="N3" s="120"/>
      <x:c r="O3" s="120"/>
      <x:c r="P3" s="120"/>
      <x:c r="Q3" s="120"/>
      <x:c r="R3" s="120"/>
      <x:c r="S3" s="120"/>
      <x:c r="T3" s="120"/>
      <x:c r="U3" s="120"/>
      <x:c r="V3" s="120"/>
      <x:c r="W3" s="120"/>
      <x:c r="X3" s="120"/>
      <x:c r="Y3" s="120"/>
      <x:c r="Z3" s="120"/>
      <x:c r="AA3" s="120"/>
      <x:c r="AB3" s="120"/>
      <x:c r="AC3" s="120"/>
      <x:c r="AD3" s="120"/>
    </x:row>
    <x:row r="4" ht="30" customHeight="1">
      <x:c r="A4" s="133" t="str">
        <x:v>Loss ID</x:v>
      </x:c>
      <x:c r="B4" s="134" t="str">
        <x:v>Proces</x:v>
      </x:c>
      <x:c r="C4" s="134" t="str">
        <x:v>Vrsta učinka</x:v>
      </x:c>
      <x:c r="D4" s="134" t="str">
        <x:v>Opis dogodka</x:v>
      </x:c>
      <x:c r="E4" s="134" t="str">
        <x:v>Enota</x:v>
      </x:c>
      <x:c r="F4" s="134" t="str">
        <x:v>Količina L</x:v>
      </x:c>
      <x:c r="G4" s="134" t="str">
        <x:v>Količina M</x:v>
      </x:c>
      <x:c r="H4" s="134" t="str">
        <x:v>Količina H</x:v>
      </x:c>
      <x:c r="I4" s="134" t="str">
        <x:v>Strošek/enoto L</x:v>
      </x:c>
      <x:c r="J4" s="134" t="str">
        <x:v>Strošek/enoto M</x:v>
      </x:c>
      <x:c r="K4" s="134" t="str">
        <x:v>Strošek/enoto H</x:v>
      </x:c>
      <x:c r="L4" s="134" t="str">
        <x:v>Izpostavljenost L</x:v>
      </x:c>
      <x:c r="M4" s="134" t="str">
        <x:v>Izpostavljenost M</x:v>
      </x:c>
      <x:c r="N4" s="134" t="str">
        <x:v>Izpostavljenost H</x:v>
      </x:c>
      <x:c r="O4" s="134" t="str">
        <x:v>Obvladljivost L</x:v>
      </x:c>
      <x:c r="P4" s="134" t="str">
        <x:v>Obvladljivost M</x:v>
      </x:c>
      <x:c r="Q4" s="134" t="str">
        <x:v>Obvladljivost H</x:v>
      </x:c>
      <x:c r="R4" s="134" t="str">
        <x:v>Pokritost L</x:v>
      </x:c>
      <x:c r="S4" s="134" t="str">
        <x:v>Pokritost M</x:v>
      </x:c>
      <x:c r="T4" s="134" t="str">
        <x:v>Pokritost H</x:v>
      </x:c>
      <x:c r="U4" s="134" t="str">
        <x:v>Uporaba L</x:v>
      </x:c>
      <x:c r="V4" s="134" t="str">
        <x:v>Uporaba M</x:v>
      </x:c>
      <x:c r="W4" s="134" t="str">
        <x:v>Uporaba H</x:v>
      </x:c>
      <x:c r="X4" s="134" t="str">
        <x:v>Korist L</x:v>
      </x:c>
      <x:c r="Y4" s="134" t="str">
        <x:v>Korist M</x:v>
      </x:c>
      <x:c r="Z4" s="134" t="str">
        <x:v>Korist H</x:v>
      </x:c>
      <x:c r="AA4" s="134" t="str">
        <x:v>Obravnava</x:v>
      </x:c>
      <x:c r="AB4" s="134" t="str">
        <x:v>Zanesljivost</x:v>
      </x:c>
      <x:c r="AC4" s="134" t="str">
        <x:v>Teža</x:v>
      </x:c>
      <x:c r="AD4" s="135" t="str">
        <x:v>Dokaz / podvajanje</x:v>
      </x:c>
    </x:row>
    <x:row r="5">
      <x:c r="A5" s="147" t="str">
        <x:v>SALES-MANUAL-001</x:v>
      </x:c>
      <x:c r="B5" s="147" t="str">
        <x:v>Prodaja</x:v>
      </x:c>
      <x:c r="C5" s="147" t="str">
        <x:v>Kapaciteta</x:v>
      </x:c>
      <x:c r="D5" s="147" t="str">
        <x:v>Ročni vnos in prepis naročil</x:v>
      </x:c>
      <x:c r="E5" s="147" t="str">
        <x:v>ure/leto</x:v>
      </x:c>
      <x:c r="F5" s="167" t="n">
        <x:v>1440</x:v>
      </x:c>
      <x:c r="G5" s="167" t="n">
        <x:v>1920</x:v>
      </x:c>
      <x:c r="H5" s="167" t="n">
        <x:v>2400</x:v>
      </x:c>
      <x:c r="I5" s="167" t="n">
        <x:v>28</x:v>
      </x:c>
      <x:c r="J5" s="167" t="n">
        <x:v>28</x:v>
      </x:c>
      <x:c r="K5" s="167" t="n">
        <x:v>42</x:v>
      </x:c>
      <x:c r="L5" s="168" t="n">
        <x:f>F5*I5</x:f>
        <x:v>40320</x:v>
      </x:c>
      <x:c r="M5" s="168" t="n">
        <x:f>G5*J5</x:f>
        <x:v>53760</x:v>
      </x:c>
      <x:c r="N5" s="168" t="n">
        <x:f>H5*K5</x:f>
        <x:v>100800</x:v>
      </x:c>
      <x:c r="O5" s="169" t="n">
        <x:v>0.55</x:v>
      </x:c>
      <x:c r="P5" s="169" t="n">
        <x:v>0.7</x:v>
      </x:c>
      <x:c r="Q5" s="169" t="n">
        <x:v>0.85</x:v>
      </x:c>
      <x:c r="R5" s="169" t="n">
        <x:v>0.7</x:v>
      </x:c>
      <x:c r="S5" s="169" t="n">
        <x:v>0.85</x:v>
      </x:c>
      <x:c r="T5" s="169" t="n">
        <x:v>0.95</x:v>
      </x:c>
      <x:c r="U5" s="169" t="n">
        <x:v>0.6</x:v>
      </x:c>
      <x:c r="V5" s="169" t="n">
        <x:v>0.8</x:v>
      </x:c>
      <x:c r="W5" s="169" t="n">
        <x:v>0.9</x:v>
      </x:c>
      <x:c r="X5" s="170" t="n">
        <x:f>L5*O5*R5*U5</x:f>
        <x:v>9313.919999999998</x:v>
      </x:c>
      <x:c r="Y5" s="170" t="n">
        <x:f>M5*P5*S5*V5</x:f>
        <x:v>25589.760000000002</x:v>
      </x:c>
      <x:c r="Z5" s="170" t="n">
        <x:f>N5*Q5*T5*W5</x:f>
        <x:v>73256.40000000001</x:v>
      </x:c>
      <x:c r="AA5" s="147" t="str">
        <x:v>Letno</x:v>
      </x:c>
      <x:c r="AB5" s="147" t="str">
        <x:v>B</x:v>
      </x:c>
      <x:c r="AC5" s="147" t="n">
        <x:v>0.8</x:v>
      </x:c>
      <x:c r="AD5" s="147" t="str">
        <x:v>Izvoz naročil + vzorec časa; ne podvajaj z istimi urami administracije</x:v>
      </x:c>
    </x:row>
    <x:row r="6">
      <x:c r="A6" s="171" t="str">
        <x:v>PRICE-ERROR-001</x:v>
      </x:c>
      <x:c r="B6" s="171" t="str">
        <x:v>Prodaja</x:v>
      </x:c>
      <x:c r="C6" s="171" t="str">
        <x:v>Neposredni strošek</x:v>
      </x:c>
      <x:c r="D6" s="171" t="str">
        <x:v>Prepozno odkrite cenovne napake</x:v>
      </x:c>
      <x:c r="E6" s="171" t="str">
        <x:v>dogodki/leto</x:v>
      </x:c>
      <x:c r="F6" s="172" t="n">
        <x:v>36</x:v>
      </x:c>
      <x:c r="G6" s="172" t="n">
        <x:v>60</x:v>
      </x:c>
      <x:c r="H6" s="172" t="n">
        <x:v>96</x:v>
      </x:c>
      <x:c r="I6" s="172" t="n">
        <x:v>150</x:v>
      </x:c>
      <x:c r="J6" s="172" t="n">
        <x:v>250</x:v>
      </x:c>
      <x:c r="K6" s="172" t="n">
        <x:v>400</x:v>
      </x:c>
      <x:c r="L6" s="173" t="n">
        <x:f>F6*I6</x:f>
        <x:v>5400</x:v>
      </x:c>
      <x:c r="M6" s="173" t="n">
        <x:f>G6*J6</x:f>
        <x:v>15000</x:v>
      </x:c>
      <x:c r="N6" s="173" t="n">
        <x:f>H6*K6</x:f>
        <x:v>38400</x:v>
      </x:c>
      <x:c r="O6" s="157" t="n">
        <x:v>0.45</x:v>
      </x:c>
      <x:c r="P6" s="157" t="n">
        <x:v>0.65</x:v>
      </x:c>
      <x:c r="Q6" s="157" t="n">
        <x:v>0.8</x:v>
      </x:c>
      <x:c r="R6" s="157" t="n">
        <x:v>0.7</x:v>
      </x:c>
      <x:c r="S6" s="157" t="n">
        <x:v>0.85</x:v>
      </x:c>
      <x:c r="T6" s="157" t="n">
        <x:v>0.95</x:v>
      </x:c>
      <x:c r="U6" s="157" t="n">
        <x:v>0.6</x:v>
      </x:c>
      <x:c r="V6" s="157" t="n">
        <x:v>0.8</x:v>
      </x:c>
      <x:c r="W6" s="157" t="n">
        <x:v>0.9</x:v>
      </x:c>
      <x:c r="X6" s="174" t="n">
        <x:f>L6*O6*R6*U6</x:f>
        <x:v>1020.5999999999999</x:v>
      </x:c>
      <x:c r="Y6" s="174" t="n">
        <x:f>M6*P6*S6*V6</x:f>
        <x:v>6630</x:v>
      </x:c>
      <x:c r="Z6" s="174" t="n">
        <x:f>N6*Q6*T6*W6</x:f>
        <x:v>26265.600000000002</x:v>
      </x:c>
      <x:c r="AA6" s="171" t="str">
        <x:v>Letno</x:v>
      </x:c>
      <x:c r="AB6" s="171" t="str">
        <x:v>B</x:v>
      </x:c>
      <x:c r="AC6" s="171" t="n">
        <x:v>0.8</x:v>
      </x:c>
      <x:c r="AD6" s="171" t="str">
        <x:v>Dobropisi z razlogom cena; uporabi neto izgubljeno maržo</x:v>
      </x:c>
    </x:row>
    <x:row r="7">
      <x:c r="A7" s="171" t="str">
        <x:v>PROC-URGENT-001</x:v>
      </x:c>
      <x:c r="B7" s="171" t="str">
        <x:v>Nabava</x:v>
      </x:c>
      <x:c r="C7" s="171" t="str">
        <x:v>Neposredni strošek</x:v>
      </x:c>
      <x:c r="D7" s="171" t="str">
        <x:v>Dodatni strošek nujnih nabav</x:v>
      </x:c>
      <x:c r="E7" s="171" t="str">
        <x:v>dogodki/leto</x:v>
      </x:c>
      <x:c r="F7" s="172" t="n">
        <x:v>18</x:v>
      </x:c>
      <x:c r="G7" s="172" t="n">
        <x:v>36</x:v>
      </x:c>
      <x:c r="H7" s="172" t="n">
        <x:v>60</x:v>
      </x:c>
      <x:c r="I7" s="172" t="n">
        <x:v>350</x:v>
      </x:c>
      <x:c r="J7" s="172" t="n">
        <x:v>600</x:v>
      </x:c>
      <x:c r="K7" s="172" t="n">
        <x:v>900</x:v>
      </x:c>
      <x:c r="L7" s="173" t="n">
        <x:f>F7*I7</x:f>
        <x:v>6300</x:v>
      </x:c>
      <x:c r="M7" s="173" t="n">
        <x:f>G7*J7</x:f>
        <x:v>21600</x:v>
      </x:c>
      <x:c r="N7" s="173" t="n">
        <x:f>H7*K7</x:f>
        <x:v>54000</x:v>
      </x:c>
      <x:c r="O7" s="157" t="n">
        <x:v>0.25</x:v>
      </x:c>
      <x:c r="P7" s="157" t="n">
        <x:v>0.45</x:v>
      </x:c>
      <x:c r="Q7" s="157" t="n">
        <x:v>0.65</x:v>
      </x:c>
      <x:c r="R7" s="157" t="n">
        <x:v>0.55</x:v>
      </x:c>
      <x:c r="S7" s="157" t="n">
        <x:v>0.75</x:v>
      </x:c>
      <x:c r="T7" s="157" t="n">
        <x:v>0.9</x:v>
      </x:c>
      <x:c r="U7" s="157" t="n">
        <x:v>0.6</x:v>
      </x:c>
      <x:c r="V7" s="157" t="n">
        <x:v>0.8</x:v>
      </x:c>
      <x:c r="W7" s="157" t="n">
        <x:v>0.9</x:v>
      </x:c>
      <x:c r="X7" s="174" t="n">
        <x:f>L7*O7*R7*U7</x:f>
        <x:v>519.75</x:v>
      </x:c>
      <x:c r="Y7" s="174" t="n">
        <x:f>M7*P7*S7*V7</x:f>
        <x:v>5832</x:v>
      </x:c>
      <x:c r="Z7" s="174" t="n">
        <x:f>N7*Q7*T7*W7</x:f>
        <x:v>28431</x:v>
      </x:c>
      <x:c r="AA7" s="171" t="str">
        <x:v>Letno</x:v>
      </x:c>
      <x:c r="AB7" s="171" t="str">
        <x:v>C</x:v>
      </x:c>
      <x:c r="AC7" s="171" t="n">
        <x:v>0.5</x:v>
      </x:c>
      <x:c r="AD7" s="171" t="str">
        <x:v>Loči sezonske in tržno nujne nakupe</x:v>
      </x:c>
    </x:row>
    <x:row r="8">
      <x:c r="A8" s="171" t="str">
        <x:v>PROC-DISCOUNT-001</x:v>
      </x:c>
      <x:c r="B8" s="171" t="str">
        <x:v>Nabava</x:v>
      </x:c>
      <x:c r="C8" s="171" t="str">
        <x:v>Neposredni strošek</x:v>
      </x:c>
      <x:c r="D8" s="171" t="str">
        <x:v>Neizkoriščeni skonti in dobaviteljski rabati</x:v>
      </x:c>
      <x:c r="E8" s="171" t="str">
        <x:v>EUR/leto</x:v>
      </x:c>
      <x:c r="F8" s="172" t="n">
        <x:v>7000</x:v>
      </x:c>
      <x:c r="G8" s="172" t="n">
        <x:v>12000</x:v>
      </x:c>
      <x:c r="H8" s="172" t="n">
        <x:v>20000</x:v>
      </x:c>
      <x:c r="I8" s="172" t="n">
        <x:v>1</x:v>
      </x:c>
      <x:c r="J8" s="172" t="n">
        <x:v>1</x:v>
      </x:c>
      <x:c r="K8" s="172" t="n">
        <x:v>1</x:v>
      </x:c>
      <x:c r="L8" s="173" t="n">
        <x:f>F8*I8</x:f>
        <x:v>7000</x:v>
      </x:c>
      <x:c r="M8" s="173" t="n">
        <x:f>G8*J8</x:f>
        <x:v>12000</x:v>
      </x:c>
      <x:c r="N8" s="173" t="n">
        <x:f>H8*K8</x:f>
        <x:v>20000</x:v>
      </x:c>
      <x:c r="O8" s="157" t="n">
        <x:v>0.35</x:v>
      </x:c>
      <x:c r="P8" s="157" t="n">
        <x:v>0.55</x:v>
      </x:c>
      <x:c r="Q8" s="157" t="n">
        <x:v>0.75</x:v>
      </x:c>
      <x:c r="R8" s="157" t="n">
        <x:v>0.6</x:v>
      </x:c>
      <x:c r="S8" s="157" t="n">
        <x:v>0.8</x:v>
      </x:c>
      <x:c r="T8" s="157" t="n">
        <x:v>0.9</x:v>
      </x:c>
      <x:c r="U8" s="157" t="n">
        <x:v>0.6</x:v>
      </x:c>
      <x:c r="V8" s="157" t="n">
        <x:v>0.8</x:v>
      </x:c>
      <x:c r="W8" s="157" t="n">
        <x:v>0.9</x:v>
      </x:c>
      <x:c r="X8" s="174" t="n">
        <x:f>L8*O8*R8*U8</x:f>
        <x:v>882</x:v>
      </x:c>
      <x:c r="Y8" s="174" t="n">
        <x:f>M8*P8*S8*V8</x:f>
        <x:v>4224.000000000001</x:v>
      </x:c>
      <x:c r="Z8" s="174" t="n">
        <x:f>N8*Q8*T8*W8</x:f>
        <x:v>12150</x:v>
      </x:c>
      <x:c r="AA8" s="171" t="str">
        <x:v>Letno</x:v>
      </x:c>
      <x:c r="AB8" s="171" t="str">
        <x:v>B</x:v>
      </x:c>
      <x:c r="AC8" s="171" t="n">
        <x:v>0.8</x:v>
      </x:c>
      <x:c r="AD8" s="171" t="str">
        <x:v>Upoštevaj strošek zgodnejšega financiranja</x:v>
      </x:c>
    </x:row>
    <x:row r="9">
      <x:c r="A9" s="171" t="str">
        <x:v>WH-PICK-TIME-001</x:v>
      </x:c>
      <x:c r="B9" s="171" t="str">
        <x:v>Skladišče</x:v>
      </x:c>
      <x:c r="C9" s="171" t="str">
        <x:v>Kapaciteta</x:v>
      </x:c>
      <x:c r="D9" s="171" t="str">
        <x:v>Izogibljivo iskanje, hoja in ponovno komisioniranje</x:v>
      </x:c>
      <x:c r="E9" s="171" t="str">
        <x:v>ure/leto</x:v>
      </x:c>
      <x:c r="F9" s="172" t="n">
        <x:v>600</x:v>
      </x:c>
      <x:c r="G9" s="172" t="n">
        <x:v>900</x:v>
      </x:c>
      <x:c r="H9" s="172" t="n">
        <x:v>1300</x:v>
      </x:c>
      <x:c r="I9" s="172" t="n">
        <x:v>24</x:v>
      </x:c>
      <x:c r="J9" s="172" t="n">
        <x:v>24</x:v>
      </x:c>
      <x:c r="K9" s="172" t="n">
        <x:v>24</x:v>
      </x:c>
      <x:c r="L9" s="173" t="n">
        <x:f>F9*I9</x:f>
        <x:v>14400</x:v>
      </x:c>
      <x:c r="M9" s="173" t="n">
        <x:f>G9*J9</x:f>
        <x:v>21600</x:v>
      </x:c>
      <x:c r="N9" s="173" t="n">
        <x:f>H9*K9</x:f>
        <x:v>31200</x:v>
      </x:c>
      <x:c r="O9" s="157" t="n">
        <x:v>0.3</x:v>
      </x:c>
      <x:c r="P9" s="157" t="n">
        <x:v>0.5</x:v>
      </x:c>
      <x:c r="Q9" s="157" t="n">
        <x:v>0.7</x:v>
      </x:c>
      <x:c r="R9" s="157" t="n">
        <x:v>0.65</x:v>
      </x:c>
      <x:c r="S9" s="157" t="n">
        <x:v>0.8</x:v>
      </x:c>
      <x:c r="T9" s="157" t="n">
        <x:v>0.9</x:v>
      </x:c>
      <x:c r="U9" s="157" t="n">
        <x:v>0.6</x:v>
      </x:c>
      <x:c r="V9" s="157" t="n">
        <x:v>0.8</x:v>
      </x:c>
      <x:c r="W9" s="157" t="n">
        <x:v>0.9</x:v>
      </x:c>
      <x:c r="X9" s="174" t="n">
        <x:f>L9*O9*R9*U9</x:f>
        <x:v>1684.8</x:v>
      </x:c>
      <x:c r="Y9" s="174" t="n">
        <x:f>M9*P9*S9*V9</x:f>
        <x:v>6912</x:v>
      </x:c>
      <x:c r="Z9" s="174" t="n">
        <x:f>N9*Q9*T9*W9</x:f>
        <x:v>17690.4</x:v>
      </x:c>
      <x:c r="AA9" s="171" t="str">
        <x:v>Letno</x:v>
      </x:c>
      <x:c r="AB9" s="171" t="str">
        <x:v>B</x:v>
      </x:c>
      <x:c r="AC9" s="171" t="n">
        <x:v>0.8</x:v>
      </x:c>
      <x:c r="AD9" s="171" t="str">
        <x:v>Vzorec časa + WMS/ERP podatki</x:v>
      </x:c>
    </x:row>
    <x:row r="10">
      <x:c r="A10" s="171" t="str">
        <x:v>WH-PICK-ERR-001</x:v>
      </x:c>
      <x:c r="B10" s="171" t="str">
        <x:v>Skladišče</x:v>
      </x:c>
      <x:c r="C10" s="171" t="str">
        <x:v>Neposredni strošek</x:v>
      </x:c>
      <x:c r="D10" s="171" t="str">
        <x:v>Napačne odpremljene vrstice</x:v>
      </x:c>
      <x:c r="E10" s="171" t="str">
        <x:v>dogodki/leto</x:v>
      </x:c>
      <x:c r="F10" s="172" t="n">
        <x:v>60</x:v>
      </x:c>
      <x:c r="G10" s="172" t="n">
        <x:v>96</x:v>
      </x:c>
      <x:c r="H10" s="172" t="n">
        <x:v>144</x:v>
      </x:c>
      <x:c r="I10" s="172" t="n">
        <x:v>74</x:v>
      </x:c>
      <x:c r="J10" s="172" t="n">
        <x:v>96</x:v>
      </x:c>
      <x:c r="K10" s="172" t="n">
        <x:v>118</x:v>
      </x:c>
      <x:c r="L10" s="173" t="n">
        <x:f>F10*I10</x:f>
        <x:v>4440</x:v>
      </x:c>
      <x:c r="M10" s="173" t="n">
        <x:f>G10*J10</x:f>
        <x:v>9216</x:v>
      </x:c>
      <x:c r="N10" s="173" t="n">
        <x:f>H10*K10</x:f>
        <x:v>16992</x:v>
      </x:c>
      <x:c r="O10" s="157" t="n">
        <x:v>0.4</x:v>
      </x:c>
      <x:c r="P10" s="157" t="n">
        <x:v>0.6</x:v>
      </x:c>
      <x:c r="Q10" s="157" t="n">
        <x:v>0.75</x:v>
      </x:c>
      <x:c r="R10" s="157" t="n">
        <x:v>0.7</x:v>
      </x:c>
      <x:c r="S10" s="157" t="n">
        <x:v>0.85</x:v>
      </x:c>
      <x:c r="T10" s="157" t="n">
        <x:v>0.95</x:v>
      </x:c>
      <x:c r="U10" s="157" t="n">
        <x:v>0.6</x:v>
      </x:c>
      <x:c r="V10" s="157" t="n">
        <x:v>0.8</x:v>
      </x:c>
      <x:c r="W10" s="157" t="n">
        <x:v>0.9</x:v>
      </x:c>
      <x:c r="X10" s="174" t="n">
        <x:f>L10*O10*R10*U10</x:f>
        <x:v>745.9199999999998</x:v>
      </x:c>
      <x:c r="Y10" s="174" t="n">
        <x:f>M10*P10*S10*V10</x:f>
        <x:v>3760.128</x:v>
      </x:c>
      <x:c r="Z10" s="174" t="n">
        <x:f>N10*Q10*T10*W10</x:f>
        <x:v>10896.119999999999</x:v>
      </x:c>
      <x:c r="AA10" s="171" t="str">
        <x:v>Letno</x:v>
      </x:c>
      <x:c r="AB10" s="171" t="str">
        <x:v>B</x:v>
      </x:c>
      <x:c r="AC10" s="171" t="n">
        <x:v>0.8</x:v>
      </x:c>
      <x:c r="AD10" s="171" t="str">
        <x:v>Reklamacije + transport; isti dogodek izloči iz vračil</x:v>
      </x:c>
    </x:row>
    <x:row r="11">
      <x:c r="A11" s="171" t="str">
        <x:v>INV-WRITEOFF-001</x:v>
      </x:c>
      <x:c r="B11" s="171" t="str">
        <x:v>Zaloga</x:v>
      </x:c>
      <x:c r="C11" s="171" t="str">
        <x:v>Neposredni strošek</x:v>
      </x:c>
      <x:c r="D11" s="171" t="str">
        <x:v>Odpisi in razvrednotenja nekurantne zaloge</x:v>
      </x:c>
      <x:c r="E11" s="171" t="str">
        <x:v>EUR/leto</x:v>
      </x:c>
      <x:c r="F11" s="172" t="n">
        <x:v>60000</x:v>
      </x:c>
      <x:c r="G11" s="172" t="n">
        <x:v>100000</x:v>
      </x:c>
      <x:c r="H11" s="172" t="n">
        <x:v>160000</x:v>
      </x:c>
      <x:c r="I11" s="172" t="n">
        <x:v>1</x:v>
      </x:c>
      <x:c r="J11" s="172" t="n">
        <x:v>1</x:v>
      </x:c>
      <x:c r="K11" s="172" t="n">
        <x:v>1</x:v>
      </x:c>
      <x:c r="L11" s="173" t="n">
        <x:f>F11*I11</x:f>
        <x:v>60000</x:v>
      </x:c>
      <x:c r="M11" s="173" t="n">
        <x:f>G11*J11</x:f>
        <x:v>100000</x:v>
      </x:c>
      <x:c r="N11" s="173" t="n">
        <x:f>H11*K11</x:f>
        <x:v>160000</x:v>
      </x:c>
      <x:c r="O11" s="157" t="n">
        <x:v>0.15</x:v>
      </x:c>
      <x:c r="P11" s="157" t="n">
        <x:v>0.3</x:v>
      </x:c>
      <x:c r="Q11" s="157" t="n">
        <x:v>0.45</x:v>
      </x:c>
      <x:c r="R11" s="157" t="n">
        <x:v>0.45</x:v>
      </x:c>
      <x:c r="S11" s="157" t="n">
        <x:v>0.65</x:v>
      </x:c>
      <x:c r="T11" s="157" t="n">
        <x:v>0.8</x:v>
      </x:c>
      <x:c r="U11" s="157" t="n">
        <x:v>0.6</x:v>
      </x:c>
      <x:c r="V11" s="157" t="n">
        <x:v>0.8</x:v>
      </x:c>
      <x:c r="W11" s="157" t="n">
        <x:v>0.9</x:v>
      </x:c>
      <x:c r="X11" s="174" t="n">
        <x:f>L11*O11*R11*U11</x:f>
        <x:v>2430</x:v>
      </x:c>
      <x:c r="Y11" s="174" t="n">
        <x:f>M11*P11*S11*V11</x:f>
        <x:v>15600</x:v>
      </x:c>
      <x:c r="Z11" s="174" t="n">
        <x:f>N11*Q11*T11*W11</x:f>
        <x:v>51840</x:v>
      </x:c>
      <x:c r="AA11" s="171" t="str">
        <x:v>Letno</x:v>
      </x:c>
      <x:c r="AB11" s="171" t="str">
        <x:v>A</x:v>
      </x:c>
      <x:c r="AC11" s="171" t="n">
        <x:v>1</x:v>
      </x:c>
      <x:c r="AD11" s="171" t="str">
        <x:v>Glavna knjiga + aged stock; ne obljubljaj odprave strateške zaloge</x:v>
      </x:c>
    </x:row>
    <x:row r="12">
      <x:c r="A12" s="171" t="str">
        <x:v>INV-RELEASE-001</x:v>
      </x:c>
      <x:c r="B12" s="171" t="str">
        <x:v>Zaloga</x:v>
      </x:c>
      <x:c r="C12" s="171" t="str">
        <x:v>Obratni kapital</x:v>
      </x:c>
      <x:c r="D12" s="171" t="str">
        <x:v>Dosegljiva sprostitev presežne zaloge</x:v>
      </x:c>
      <x:c r="E12" s="171" t="str">
        <x:v>EUR enkratno</x:v>
      </x:c>
      <x:c r="F12" s="172" t="n">
        <x:v>100000</x:v>
      </x:c>
      <x:c r="G12" s="172" t="n">
        <x:v>150000</x:v>
      </x:c>
      <x:c r="H12" s="172" t="n">
        <x:v>225000</x:v>
      </x:c>
      <x:c r="I12" s="172" t="n">
        <x:v>1</x:v>
      </x:c>
      <x:c r="J12" s="172" t="n">
        <x:v>1</x:v>
      </x:c>
      <x:c r="K12" s="172" t="n">
        <x:v>1</x:v>
      </x:c>
      <x:c r="L12" s="173" t="n">
        <x:f>F12*I12</x:f>
        <x:v>100000</x:v>
      </x:c>
      <x:c r="M12" s="173" t="n">
        <x:f>G12*J12</x:f>
        <x:v>150000</x:v>
      </x:c>
      <x:c r="N12" s="173" t="n">
        <x:f>H12*K12</x:f>
        <x:v>225000</x:v>
      </x:c>
      <x:c r="O12" s="157" t="n">
        <x:v>0.3</x:v>
      </x:c>
      <x:c r="P12" s="157" t="n">
        <x:v>0.5</x:v>
      </x:c>
      <x:c r="Q12" s="157" t="n">
        <x:v>0.7</x:v>
      </x:c>
      <x:c r="R12" s="157" t="n">
        <x:v>0.55</x:v>
      </x:c>
      <x:c r="S12" s="157" t="n">
        <x:v>0.75</x:v>
      </x:c>
      <x:c r="T12" s="157" t="n">
        <x:v>0.9</x:v>
      </x:c>
      <x:c r="U12" s="157" t="n">
        <x:v>0.6</x:v>
      </x:c>
      <x:c r="V12" s="157" t="n">
        <x:v>0.8</x:v>
      </x:c>
      <x:c r="W12" s="157" t="n">
        <x:v>0.9</x:v>
      </x:c>
      <x:c r="X12" s="174" t="n">
        <x:f>L12*O12*R12*U12</x:f>
        <x:v>9900</x:v>
      </x:c>
      <x:c r="Y12" s="174" t="n">
        <x:f>M12*P12*S12*V12</x:f>
        <x:v>45000</x:v>
      </x:c>
      <x:c r="Z12" s="174" t="n">
        <x:f>N12*Q12*T12*W12</x:f>
        <x:v>127575</x:v>
      </x:c>
      <x:c r="AA12" s="171" t="str">
        <x:v>Enkratno</x:v>
      </x:c>
      <x:c r="AB12" s="171" t="str">
        <x:v>C</x:v>
      </x:c>
      <x:c r="AC12" s="171" t="n">
        <x:v>0.5</x:v>
      </x:c>
      <x:c r="AD12" s="171" t="str">
        <x:v>Kapital, ne letni prihranek; preveri ciljno raven storitve</x:v>
      </x:c>
    </x:row>
    <x:row r="13">
      <x:c r="A13" s="171" t="str">
        <x:v>STOCKOUT-MARGIN-001</x:v>
      </x:c>
      <x:c r="B13" s="171" t="str">
        <x:v>Zaloga</x:v>
      </x:c>
      <x:c r="C13" s="171" t="str">
        <x:v>Izgubljena marža</x:v>
      </x:c>
      <x:c r="D13" s="171" t="str">
        <x:v>Dokončno izgubljena marža zaradi stockoutov</x:v>
      </x:c>
      <x:c r="E13" s="171" t="str">
        <x:v>EUR/leto</x:v>
      </x:c>
      <x:c r="F13" s="172" t="n">
        <x:v>100000</x:v>
      </x:c>
      <x:c r="G13" s="172" t="n">
        <x:v>200000</x:v>
      </x:c>
      <x:c r="H13" s="172" t="n">
        <x:v>350000</x:v>
      </x:c>
      <x:c r="I13" s="172" t="n">
        <x:v>1</x:v>
      </x:c>
      <x:c r="J13" s="172" t="n">
        <x:v>1</x:v>
      </x:c>
      <x:c r="K13" s="172" t="n">
        <x:v>1</x:v>
      </x:c>
      <x:c r="L13" s="173" t="n">
        <x:f>F13*I13</x:f>
        <x:v>100000</x:v>
      </x:c>
      <x:c r="M13" s="173" t="n">
        <x:f>G13*J13</x:f>
        <x:v>200000</x:v>
      </x:c>
      <x:c r="N13" s="173" t="n">
        <x:f>H13*K13</x:f>
        <x:v>350000</x:v>
      </x:c>
      <x:c r="O13" s="157" t="n">
        <x:v>0.2</x:v>
      </x:c>
      <x:c r="P13" s="157" t="n">
        <x:v>0.35</x:v>
      </x:c>
      <x:c r="Q13" s="157" t="n">
        <x:v>0.5</x:v>
      </x:c>
      <x:c r="R13" s="157" t="n">
        <x:v>0.45</x:v>
      </x:c>
      <x:c r="S13" s="157" t="n">
        <x:v>0.65</x:v>
      </x:c>
      <x:c r="T13" s="157" t="n">
        <x:v>0.8</x:v>
      </x:c>
      <x:c r="U13" s="157" t="n">
        <x:v>0.6</x:v>
      </x:c>
      <x:c r="V13" s="157" t="n">
        <x:v>0.8</x:v>
      </x:c>
      <x:c r="W13" s="157" t="n">
        <x:v>0.9</x:v>
      </x:c>
      <x:c r="X13" s="174" t="n">
        <x:f>L13*O13*R13*U13</x:f>
        <x:v>5400</x:v>
      </x:c>
      <x:c r="Y13" s="174" t="n">
        <x:f>M13*P13*S13*V13</x:f>
        <x:v>36400</x:v>
      </x:c>
      <x:c r="Z13" s="174" t="n">
        <x:f>N13*Q13*T13*W13</x:f>
        <x:v>126000</x:v>
      </x:c>
      <x:c r="AA13" s="171" t="str">
        <x:v>Letno</x:v>
      </x:c>
      <x:c r="AB13" s="171" t="str">
        <x:v>C</x:v>
      </x:c>
      <x:c r="AC13" s="171" t="n">
        <x:v>0.5</x:v>
      </x:c>
      <x:c r="AD13" s="171" t="str">
        <x:v>Samo dokončno izgubljena naročila × prispevna marža</x:v>
      </x:c>
    </x:row>
    <x:row r="14">
      <x:c r="A14" s="171" t="str">
        <x:v>TRANS-EXTRA-001</x:v>
      </x:c>
      <x:c r="B14" s="171" t="str">
        <x:v>Transport</x:v>
      </x:c>
      <x:c r="C14" s="171" t="str">
        <x:v>Neposredni strošek</x:v>
      </x:c>
      <x:c r="D14" s="171" t="str">
        <x:v>Ekspresne, ponovljene in delne dostave</x:v>
      </x:c>
      <x:c r="E14" s="171" t="str">
        <x:v>dogodki/leto</x:v>
      </x:c>
      <x:c r="F14" s="172" t="n">
        <x:v>72</x:v>
      </x:c>
      <x:c r="G14" s="172" t="n">
        <x:v>120</x:v>
      </x:c>
      <x:c r="H14" s="172" t="n">
        <x:v>180</x:v>
      </x:c>
      <x:c r="I14" s="172" t="n">
        <x:v>120</x:v>
      </x:c>
      <x:c r="J14" s="172" t="n">
        <x:v>180</x:v>
      </x:c>
      <x:c r="K14" s="172" t="n">
        <x:v>260</x:v>
      </x:c>
      <x:c r="L14" s="173" t="n">
        <x:f>F14*I14</x:f>
        <x:v>8640</x:v>
      </x:c>
      <x:c r="M14" s="173" t="n">
        <x:f>G14*J14</x:f>
        <x:v>21600</x:v>
      </x:c>
      <x:c r="N14" s="173" t="n">
        <x:f>H14*K14</x:f>
        <x:v>46800</x:v>
      </x:c>
      <x:c r="O14" s="157" t="n">
        <x:v>0.3</x:v>
      </x:c>
      <x:c r="P14" s="157" t="n">
        <x:v>0.5</x:v>
      </x:c>
      <x:c r="Q14" s="157" t="n">
        <x:v>0.65</x:v>
      </x:c>
      <x:c r="R14" s="157" t="n">
        <x:v>0.55</x:v>
      </x:c>
      <x:c r="S14" s="157" t="n">
        <x:v>0.75</x:v>
      </x:c>
      <x:c r="T14" s="157" t="n">
        <x:v>0.9</x:v>
      </x:c>
      <x:c r="U14" s="157" t="n">
        <x:v>0.6</x:v>
      </x:c>
      <x:c r="V14" s="157" t="n">
        <x:v>0.8</x:v>
      </x:c>
      <x:c r="W14" s="157" t="n">
        <x:v>0.9</x:v>
      </x:c>
      <x:c r="X14" s="174" t="n">
        <x:f>L14*O14*R14*U14</x:f>
        <x:v>855.36</x:v>
      </x:c>
      <x:c r="Y14" s="174" t="n">
        <x:f>M14*P14*S14*V14</x:f>
        <x:v>6480</x:v>
      </x:c>
      <x:c r="Z14" s="174" t="n">
        <x:f>N14*Q14*T14*W14</x:f>
        <x:v>24640.2</x:v>
      </x:c>
      <x:c r="AA14" s="171" t="str">
        <x:v>Letno</x:v>
      </x:c>
      <x:c r="AB14" s="171" t="str">
        <x:v>B</x:v>
      </x:c>
      <x:c r="AC14" s="171" t="n">
        <x:v>0.8</x:v>
      </x:c>
      <x:c r="AD14" s="171" t="str">
        <x:v>Prevoznikovi računi z razlogom</x:v>
      </x:c>
    </x:row>
    <x:row r="15">
      <x:c r="A15" s="171" t="str">
        <x:v>RETURN-001</x:v>
      </x:c>
      <x:c r="B15" s="171" t="str">
        <x:v>Vračila</x:v>
      </x:c>
      <x:c r="C15" s="171" t="str">
        <x:v>Neposredni strošek</x:v>
      </x:c>
      <x:c r="D15" s="171" t="str">
        <x:v>Neto strošek obdelave vračil in reklamacij</x:v>
      </x:c>
      <x:c r="E15" s="171" t="str">
        <x:v>primeri/leto</x:v>
      </x:c>
      <x:c r="F15" s="172" t="n">
        <x:v>240</x:v>
      </x:c>
      <x:c r="G15" s="172" t="n">
        <x:v>400</x:v>
      </x:c>
      <x:c r="H15" s="172" t="n">
        <x:v>600</x:v>
      </x:c>
      <x:c r="I15" s="172" t="n">
        <x:v>50</x:v>
      </x:c>
      <x:c r="J15" s="172" t="n">
        <x:v>75</x:v>
      </x:c>
      <x:c r="K15" s="172" t="n">
        <x:v>120</x:v>
      </x:c>
      <x:c r="L15" s="173" t="n">
        <x:f>F15*I15</x:f>
        <x:v>12000</x:v>
      </x:c>
      <x:c r="M15" s="173" t="n">
        <x:f>G15*J15</x:f>
        <x:v>30000</x:v>
      </x:c>
      <x:c r="N15" s="173" t="n">
        <x:f>H15*K15</x:f>
        <x:v>72000</x:v>
      </x:c>
      <x:c r="O15" s="157" t="n">
        <x:v>0.2</x:v>
      </x:c>
      <x:c r="P15" s="157" t="n">
        <x:v>0.35</x:v>
      </x:c>
      <x:c r="Q15" s="157" t="n">
        <x:v>0.5</x:v>
      </x:c>
      <x:c r="R15" s="157" t="n">
        <x:v>0.55</x:v>
      </x:c>
      <x:c r="S15" s="157" t="n">
        <x:v>0.7</x:v>
      </x:c>
      <x:c r="T15" s="157" t="n">
        <x:v>0.85</x:v>
      </x:c>
      <x:c r="U15" s="157" t="n">
        <x:v>0.6</x:v>
      </x:c>
      <x:c r="V15" s="157" t="n">
        <x:v>0.8</x:v>
      </x:c>
      <x:c r="W15" s="157" t="n">
        <x:v>0.9</x:v>
      </x:c>
      <x:c r="X15" s="174" t="n">
        <x:f>L15*O15*R15*U15</x:f>
        <x:v>792</x:v>
      </x:c>
      <x:c r="Y15" s="174" t="n">
        <x:f>M15*P15*S15*V15</x:f>
        <x:v>5880</x:v>
      </x:c>
      <x:c r="Z15" s="174" t="n">
        <x:f>N15*Q15*T15*W15</x:f>
        <x:v>27540</x:v>
      </x:c>
      <x:c r="AA15" s="171" t="str">
        <x:v>Letno</x:v>
      </x:c>
      <x:c r="AB15" s="171" t="str">
        <x:v>B</x:v>
      </x:c>
      <x:c r="AC15" s="171" t="n">
        <x:v>0.8</x:v>
      </x:c>
      <x:c r="AD15" s="171" t="str">
        <x:v>Transport + čas + razvrednotenje − povračila</x:v>
      </x:c>
    </x:row>
    <x:row r="16">
      <x:c r="A16" s="171" t="str">
        <x:v>AR-RELEASE-001</x:v>
      </x:c>
      <x:c r="B16" s="171" t="str">
        <x:v>Terjatve</x:v>
      </x:c>
      <x:c r="C16" s="171" t="str">
        <x:v>Obratni kapital</x:v>
      </x:c>
      <x:c r="D16" s="171" t="str">
        <x:v>Sprostitev terjatev zaradi dosegljivega znižanja DSO</x:v>
      </x:c>
      <x:c r="E16" s="171" t="str">
        <x:v>EUR enkratno</x:v>
      </x:c>
      <x:c r="F16" s="172" t="n">
        <x:v>87671</x:v>
      </x:c>
      <x:c r="G16" s="172" t="n">
        <x:v>109589</x:v>
      </x:c>
      <x:c r="H16" s="172" t="n">
        <x:v>153425</x:v>
      </x:c>
      <x:c r="I16" s="172" t="n">
        <x:v>1</x:v>
      </x:c>
      <x:c r="J16" s="172" t="n">
        <x:v>1</x:v>
      </x:c>
      <x:c r="K16" s="172" t="n">
        <x:v>1</x:v>
      </x:c>
      <x:c r="L16" s="173" t="n">
        <x:f>F16*I16</x:f>
        <x:v>87671</x:v>
      </x:c>
      <x:c r="M16" s="173" t="n">
        <x:f>G16*J16</x:f>
        <x:v>109589</x:v>
      </x:c>
      <x:c r="N16" s="173" t="n">
        <x:f>H16*K16</x:f>
        <x:v>153425</x:v>
      </x:c>
      <x:c r="O16" s="157" t="n">
        <x:v>0.3</x:v>
      </x:c>
      <x:c r="P16" s="157" t="n">
        <x:v>0.5</x:v>
      </x:c>
      <x:c r="Q16" s="157" t="n">
        <x:v>0.65</x:v>
      </x:c>
      <x:c r="R16" s="157" t="n">
        <x:v>0.5</x:v>
      </x:c>
      <x:c r="S16" s="157" t="n">
        <x:v>0.7</x:v>
      </x:c>
      <x:c r="T16" s="157" t="n">
        <x:v>0.85</x:v>
      </x:c>
      <x:c r="U16" s="157" t="n">
        <x:v>0.6</x:v>
      </x:c>
      <x:c r="V16" s="157" t="n">
        <x:v>0.8</x:v>
      </x:c>
      <x:c r="W16" s="157" t="n">
        <x:v>0.9</x:v>
      </x:c>
      <x:c r="X16" s="174" t="n">
        <x:f>L16*O16*R16*U16</x:f>
        <x:v>7890.389999999999</x:v>
      </x:c>
      <x:c r="Y16" s="174" t="n">
        <x:f>M16*P16*S16*V16</x:f>
        <x:v>30684.92</x:v>
      </x:c>
      <x:c r="Z16" s="174" t="n">
        <x:f>N16*Q16*T16*W16</x:f>
        <x:v>76290.58125</x:v>
      </x:c>
      <x:c r="AA16" s="171" t="str">
        <x:v>Enkratno</x:v>
      </x:c>
      <x:c r="AB16" s="171" t="str">
        <x:v>C</x:v>
      </x:c>
      <x:c r="AC16" s="171" t="n">
        <x:v>0.5</x:v>
      </x:c>
      <x:c r="AD16" s="171" t="str">
        <x:v>Kreditna prodaja/365 × procesno dosegljivi dnevi</x:v>
      </x:c>
    </x:row>
    <x:row r="17">
      <x:c r="A17" s="171" t="str">
        <x:v>AR-COST-001</x:v>
      </x:c>
      <x:c r="B17" s="171" t="str">
        <x:v>Terjatve</x:v>
      </x:c>
      <x:c r="C17" s="171" t="str">
        <x:v>Neposredni strošek</x:v>
      </x:c>
      <x:c r="D17" s="171" t="str">
        <x:v>Letni strošek financiranja presežnih terjatev</x:v>
      </x:c>
      <x:c r="E17" s="171" t="str">
        <x:v>EUR/leto</x:v>
      </x:c>
      <x:c r="F17" s="172" t="n">
        <x:v>6137</x:v>
      </x:c>
      <x:c r="G17" s="172" t="n">
        <x:v>7671</x:v>
      </x:c>
      <x:c r="H17" s="172" t="n">
        <x:v>10740</x:v>
      </x:c>
      <x:c r="I17" s="172" t="n">
        <x:v>1</x:v>
      </x:c>
      <x:c r="J17" s="172" t="n">
        <x:v>1</x:v>
      </x:c>
      <x:c r="K17" s="172" t="n">
        <x:v>1</x:v>
      </x:c>
      <x:c r="L17" s="173" t="n">
        <x:f>F17*I17</x:f>
        <x:v>6137</x:v>
      </x:c>
      <x:c r="M17" s="173" t="n">
        <x:f>G17*J17</x:f>
        <x:v>7671</x:v>
      </x:c>
      <x:c r="N17" s="173" t="n">
        <x:f>H17*K17</x:f>
        <x:v>10740</x:v>
      </x:c>
      <x:c r="O17" s="157" t="n">
        <x:v>0.3</x:v>
      </x:c>
      <x:c r="P17" s="157" t="n">
        <x:v>0.5</x:v>
      </x:c>
      <x:c r="Q17" s="157" t="n">
        <x:v>0.65</x:v>
      </x:c>
      <x:c r="R17" s="157" t="n">
        <x:v>0.5</x:v>
      </x:c>
      <x:c r="S17" s="157" t="n">
        <x:v>0.7</x:v>
      </x:c>
      <x:c r="T17" s="157" t="n">
        <x:v>0.85</x:v>
      </x:c>
      <x:c r="U17" s="157" t="n">
        <x:v>0.6</x:v>
      </x:c>
      <x:c r="V17" s="157" t="n">
        <x:v>0.8</x:v>
      </x:c>
      <x:c r="W17" s="157" t="n">
        <x:v>0.9</x:v>
      </x:c>
      <x:c r="X17" s="174" t="n">
        <x:f>L17*O17*R17*U17</x:f>
        <x:v>552.3299999999999</x:v>
      </x:c>
      <x:c r="Y17" s="174" t="n">
        <x:f>M17*P17*S17*V17</x:f>
        <x:v>2147.88</x:v>
      </x:c>
      <x:c r="Z17" s="174" t="n">
        <x:f>N17*Q17*T17*W17</x:f>
        <x:v>5340.464999999999</x:v>
      </x:c>
      <x:c r="AA17" s="171" t="str">
        <x:v>Letno</x:v>
      </x:c>
      <x:c r="AB17" s="171" t="str">
        <x:v>C</x:v>
      </x:c>
      <x:c r="AC17" s="171" t="n">
        <x:v>0.5</x:v>
      </x:c>
      <x:c r="AD17" s="171" t="str">
        <x:v>Sprostitev terjatev × mejna financirna stopnja</x:v>
      </x:c>
    </x:row>
    <x:row r="18">
      <x:c r="A18" s="171" t="str">
        <x:v>REPORT-001</x:v>
      </x:c>
      <x:c r="B18" s="171" t="str">
        <x:v>Analitika</x:v>
      </x:c>
      <x:c r="C18" s="171" t="str">
        <x:v>Kapaciteta</x:v>
      </x:c>
      <x:c r="D18" s="171" t="str">
        <x:v>Ročna priprava poročil in usklajevanje razlik</x:v>
      </x:c>
      <x:c r="E18" s="171" t="str">
        <x:v>ure/leto</x:v>
      </x:c>
      <x:c r="F18" s="172" t="n">
        <x:v>240</x:v>
      </x:c>
      <x:c r="G18" s="172" t="n">
        <x:v>420</x:v>
      </x:c>
      <x:c r="H18" s="172" t="n">
        <x:v>720</x:v>
      </x:c>
      <x:c r="I18" s="172" t="n">
        <x:v>42</x:v>
      </x:c>
      <x:c r="J18" s="172" t="n">
        <x:v>42</x:v>
      </x:c>
      <x:c r="K18" s="172" t="n">
        <x:v>42</x:v>
      </x:c>
      <x:c r="L18" s="173" t="n">
        <x:f>F18*I18</x:f>
        <x:v>10080</x:v>
      </x:c>
      <x:c r="M18" s="173" t="n">
        <x:f>G18*J18</x:f>
        <x:v>17640</x:v>
      </x:c>
      <x:c r="N18" s="173" t="n">
        <x:f>H18*K18</x:f>
        <x:v>30240</x:v>
      </x:c>
      <x:c r="O18" s="157" t="n">
        <x:v>0.45</x:v>
      </x:c>
      <x:c r="P18" s="157" t="n">
        <x:v>0.65</x:v>
      </x:c>
      <x:c r="Q18" s="157" t="n">
        <x:v>0.8</x:v>
      </x:c>
      <x:c r="R18" s="157" t="n">
        <x:v>0.55</x:v>
      </x:c>
      <x:c r="S18" s="157" t="n">
        <x:v>0.75</x:v>
      </x:c>
      <x:c r="T18" s="157" t="n">
        <x:v>0.9</x:v>
      </x:c>
      <x:c r="U18" s="157" t="n">
        <x:v>0.6</x:v>
      </x:c>
      <x:c r="V18" s="157" t="n">
        <x:v>0.8</x:v>
      </x:c>
      <x:c r="W18" s="157" t="n">
        <x:v>0.9</x:v>
      </x:c>
      <x:c r="X18" s="174" t="n">
        <x:f>L18*O18*R18*U18</x:f>
        <x:v>1496.88</x:v>
      </x:c>
      <x:c r="Y18" s="174" t="n">
        <x:f>M18*P18*S18*V18</x:f>
        <x:v>6879.6</x:v>
      </x:c>
      <x:c r="Z18" s="174" t="n">
        <x:f>N18*Q18*T18*W18</x:f>
        <x:v>19595.52</x:v>
      </x:c>
      <x:c r="AA18" s="171" t="str">
        <x:v>Letno</x:v>
      </x:c>
      <x:c r="AB18" s="171" t="str">
        <x:v>B</x:v>
      </x:c>
      <x:c r="AC18" s="171" t="n">
        <x:v>0.8</x:v>
      </x:c>
      <x:c r="AD18" s="171" t="str">
        <x:v>Koledar poročil + vzorec časa</x:v>
      </x:c>
    </x:row>
    <x:row r="19">
      <x:c r="A19" s="171" t="str">
        <x:v>DOC-001</x:v>
      </x:c>
      <x:c r="B19" s="171" t="str">
        <x:v>Dokumenti</x:v>
      </x:c>
      <x:c r="C19" s="171" t="str">
        <x:v>Kapaciteta</x:v>
      </x:c>
      <x:c r="D19" s="171" t="str">
        <x:v>Iskanje, razvrščanje in ponovno pošiljanje dokumentov</x:v>
      </x:c>
      <x:c r="E19" s="171" t="str">
        <x:v>ure/leto</x:v>
      </x:c>
      <x:c r="F19" s="172" t="n">
        <x:v>240</x:v>
      </x:c>
      <x:c r="G19" s="172" t="n">
        <x:v>360</x:v>
      </x:c>
      <x:c r="H19" s="172" t="n">
        <x:v>600</x:v>
      </x:c>
      <x:c r="I19" s="172" t="n">
        <x:v>28</x:v>
      </x:c>
      <x:c r="J19" s="172" t="n">
        <x:v>28</x:v>
      </x:c>
      <x:c r="K19" s="172" t="n">
        <x:v>28</x:v>
      </x:c>
      <x:c r="L19" s="173" t="n">
        <x:f>F19*I19</x:f>
        <x:v>6720</x:v>
      </x:c>
      <x:c r="M19" s="173" t="n">
        <x:f>G19*J19</x:f>
        <x:v>10080</x:v>
      </x:c>
      <x:c r="N19" s="173" t="n">
        <x:f>H19*K19</x:f>
        <x:v>16800</x:v>
      </x:c>
      <x:c r="O19" s="157" t="n">
        <x:v>0.45</x:v>
      </x:c>
      <x:c r="P19" s="157" t="n">
        <x:v>0.65</x:v>
      </x:c>
      <x:c r="Q19" s="157" t="n">
        <x:v>0.8</x:v>
      </x:c>
      <x:c r="R19" s="157" t="n">
        <x:v>0.6</x:v>
      </x:c>
      <x:c r="S19" s="157" t="n">
        <x:v>0.8</x:v>
      </x:c>
      <x:c r="T19" s="157" t="n">
        <x:v>0.9</x:v>
      </x:c>
      <x:c r="U19" s="157" t="n">
        <x:v>0.6</x:v>
      </x:c>
      <x:c r="V19" s="157" t="n">
        <x:v>0.8</x:v>
      </x:c>
      <x:c r="W19" s="157" t="n">
        <x:v>0.9</x:v>
      </x:c>
      <x:c r="X19" s="174" t="n">
        <x:f>L19*O19*R19*U19</x:f>
        <x:v>1088.6399999999999</x:v>
      </x:c>
      <x:c r="Y19" s="174" t="n">
        <x:f>M19*P19*S19*V19</x:f>
        <x:v>4193.280000000001</x:v>
      </x:c>
      <x:c r="Z19" s="174" t="n">
        <x:f>N19*Q19*T19*W19</x:f>
        <x:v>10886.4</x:v>
      </x:c>
      <x:c r="AA19" s="171" t="str">
        <x:v>Letno</x:v>
      </x:c>
      <x:c r="AB19" s="171" t="str">
        <x:v>C</x:v>
      </x:c>
      <x:c r="AC19" s="171" t="n">
        <x:v>0.5</x:v>
      </x:c>
      <x:c r="AD19" s="171" t="str">
        <x:v>Vzorec časa; izloči ure že vključene v računovodstvu</x:v>
      </x:c>
    </x:row>
    <x:row r="20">
      <x:c r="A20" s="171" t="str"/>
      <x:c r="B20" s="171" t="str"/>
      <x:c r="C20" s="171" t="str"/>
      <x:c r="D20" s="171" t="str"/>
      <x:c r="E20" s="171" t="str"/>
      <x:c r="F20" s="172" t="n">
        <x:v>0</x:v>
      </x:c>
      <x:c r="G20" s="172" t="n">
        <x:v>0</x:v>
      </x:c>
      <x:c r="H20" s="172" t="n">
        <x:v>0</x:v>
      </x:c>
      <x:c r="I20" s="172" t="n">
        <x:v>0</x:v>
      </x:c>
      <x:c r="J20" s="172" t="n">
        <x:v>0</x:v>
      </x:c>
      <x:c r="K20" s="172" t="n">
        <x:v>0</x:v>
      </x:c>
      <x:c r="L20" s="173" t="n">
        <x:f>F20*I20</x:f>
        <x:v>0</x:v>
      </x:c>
      <x:c r="M20" s="173" t="n">
        <x:f>G20*J20</x:f>
        <x:v>0</x:v>
      </x:c>
      <x:c r="N20" s="173" t="n">
        <x:f>H20*K20</x:f>
        <x:v>0</x:v>
      </x:c>
      <x:c r="O20" s="157" t="n">
        <x:v>0</x:v>
      </x:c>
      <x:c r="P20" s="157" t="n">
        <x:v>0</x:v>
      </x:c>
      <x:c r="Q20" s="157" t="n">
        <x:v>0</x:v>
      </x:c>
      <x:c r="R20" s="157" t="n">
        <x:v>0</x:v>
      </x:c>
      <x:c r="S20" s="157" t="n">
        <x:v>0</x:v>
      </x:c>
      <x:c r="T20" s="157" t="n">
        <x:v>0</x:v>
      </x:c>
      <x:c r="U20" s="157" t="n">
        <x:v>0</x:v>
      </x:c>
      <x:c r="V20" s="157" t="n">
        <x:v>0</x:v>
      </x:c>
      <x:c r="W20" s="157" t="n">
        <x:v>0</x:v>
      </x:c>
      <x:c r="X20" s="174" t="n">
        <x:f>L20*O20*R20*U20</x:f>
        <x:v>0</x:v>
      </x:c>
      <x:c r="Y20" s="174" t="n">
        <x:f>M20*P20*S20*V20</x:f>
        <x:v>0</x:v>
      </x:c>
      <x:c r="Z20" s="174" t="n">
        <x:f>N20*Q20*T20*W20</x:f>
        <x:v>0</x:v>
      </x:c>
      <x:c r="AA20" s="171" t="str">
        <x:v>Letno</x:v>
      </x:c>
      <x:c r="AB20" s="171" t="str">
        <x:v>D</x:v>
      </x:c>
      <x:c r="AC20" s="171" t="n">
        <x:v>0.25</x:v>
      </x:c>
      <x:c r="AD20" s="171" t="str"/>
    </x:row>
    <x:row r="21">
      <x:c r="A21" s="171" t="str"/>
      <x:c r="B21" s="171" t="str"/>
      <x:c r="C21" s="171" t="str"/>
      <x:c r="D21" s="171" t="str"/>
      <x:c r="E21" s="171" t="str"/>
      <x:c r="F21" s="172" t="n">
        <x:v>0</x:v>
      </x:c>
      <x:c r="G21" s="172" t="n">
        <x:v>0</x:v>
      </x:c>
      <x:c r="H21" s="172" t="n">
        <x:v>0</x:v>
      </x:c>
      <x:c r="I21" s="172" t="n">
        <x:v>0</x:v>
      </x:c>
      <x:c r="J21" s="172" t="n">
        <x:v>0</x:v>
      </x:c>
      <x:c r="K21" s="172" t="n">
        <x:v>0</x:v>
      </x:c>
      <x:c r="L21" s="173" t="n">
        <x:f>F21*I21</x:f>
        <x:v>0</x:v>
      </x:c>
      <x:c r="M21" s="173" t="n">
        <x:f>G21*J21</x:f>
        <x:v>0</x:v>
      </x:c>
      <x:c r="N21" s="173" t="n">
        <x:f>H21*K21</x:f>
        <x:v>0</x:v>
      </x:c>
      <x:c r="O21" s="157" t="n">
        <x:v>0</x:v>
      </x:c>
      <x:c r="P21" s="157" t="n">
        <x:v>0</x:v>
      </x:c>
      <x:c r="Q21" s="157" t="n">
        <x:v>0</x:v>
      </x:c>
      <x:c r="R21" s="157" t="n">
        <x:v>0</x:v>
      </x:c>
      <x:c r="S21" s="157" t="n">
        <x:v>0</x:v>
      </x:c>
      <x:c r="T21" s="157" t="n">
        <x:v>0</x:v>
      </x:c>
      <x:c r="U21" s="157" t="n">
        <x:v>0</x:v>
      </x:c>
      <x:c r="V21" s="157" t="n">
        <x:v>0</x:v>
      </x:c>
      <x:c r="W21" s="157" t="n">
        <x:v>0</x:v>
      </x:c>
      <x:c r="X21" s="174" t="n">
        <x:f>L21*O21*R21*U21</x:f>
        <x:v>0</x:v>
      </x:c>
      <x:c r="Y21" s="174" t="n">
        <x:f>M21*P21*S21*V21</x:f>
        <x:v>0</x:v>
      </x:c>
      <x:c r="Z21" s="174" t="n">
        <x:f>N21*Q21*T21*W21</x:f>
        <x:v>0</x:v>
      </x:c>
      <x:c r="AA21" s="171" t="str">
        <x:v>Letno</x:v>
      </x:c>
      <x:c r="AB21" s="171" t="str">
        <x:v>D</x:v>
      </x:c>
      <x:c r="AC21" s="171" t="n">
        <x:v>0.25</x:v>
      </x:c>
      <x:c r="AD21" s="171" t="str"/>
    </x:row>
    <x:row r="22">
      <x:c r="A22" s="171" t="str"/>
      <x:c r="B22" s="171" t="str"/>
      <x:c r="C22" s="171" t="str"/>
      <x:c r="D22" s="171" t="str"/>
      <x:c r="E22" s="171" t="str"/>
      <x:c r="F22" s="172" t="n">
        <x:v>0</x:v>
      </x:c>
      <x:c r="G22" s="172" t="n">
        <x:v>0</x:v>
      </x:c>
      <x:c r="H22" s="172" t="n">
        <x:v>0</x:v>
      </x:c>
      <x:c r="I22" s="172" t="n">
        <x:v>0</x:v>
      </x:c>
      <x:c r="J22" s="172" t="n">
        <x:v>0</x:v>
      </x:c>
      <x:c r="K22" s="172" t="n">
        <x:v>0</x:v>
      </x:c>
      <x:c r="L22" s="173" t="n">
        <x:f>F22*I22</x:f>
        <x:v>0</x:v>
      </x:c>
      <x:c r="M22" s="173" t="n">
        <x:f>G22*J22</x:f>
        <x:v>0</x:v>
      </x:c>
      <x:c r="N22" s="173" t="n">
        <x:f>H22*K22</x:f>
        <x:v>0</x:v>
      </x:c>
      <x:c r="O22" s="157" t="n">
        <x:v>0</x:v>
      </x:c>
      <x:c r="P22" s="157" t="n">
        <x:v>0</x:v>
      </x:c>
      <x:c r="Q22" s="157" t="n">
        <x:v>0</x:v>
      </x:c>
      <x:c r="R22" s="157" t="n">
        <x:v>0</x:v>
      </x:c>
      <x:c r="S22" s="157" t="n">
        <x:v>0</x:v>
      </x:c>
      <x:c r="T22" s="157" t="n">
        <x:v>0</x:v>
      </x:c>
      <x:c r="U22" s="157" t="n">
        <x:v>0</x:v>
      </x:c>
      <x:c r="V22" s="157" t="n">
        <x:v>0</x:v>
      </x:c>
      <x:c r="W22" s="157" t="n">
        <x:v>0</x:v>
      </x:c>
      <x:c r="X22" s="174" t="n">
        <x:f>L22*O22*R22*U22</x:f>
        <x:v>0</x:v>
      </x:c>
      <x:c r="Y22" s="174" t="n">
        <x:f>M22*P22*S22*V22</x:f>
        <x:v>0</x:v>
      </x:c>
      <x:c r="Z22" s="174" t="n">
        <x:f>N22*Q22*T22*W22</x:f>
        <x:v>0</x:v>
      </x:c>
      <x:c r="AA22" s="171" t="str">
        <x:v>Letno</x:v>
      </x:c>
      <x:c r="AB22" s="171" t="str">
        <x:v>D</x:v>
      </x:c>
      <x:c r="AC22" s="171" t="n">
        <x:v>0.25</x:v>
      </x:c>
      <x:c r="AD22" s="171" t="str"/>
    </x:row>
    <x:row r="23">
      <x:c r="A23" s="171" t="str"/>
      <x:c r="B23" s="171" t="str"/>
      <x:c r="C23" s="171" t="str"/>
      <x:c r="D23" s="171" t="str"/>
      <x:c r="E23" s="171" t="str"/>
      <x:c r="F23" s="172" t="n">
        <x:v>0</x:v>
      </x:c>
      <x:c r="G23" s="172" t="n">
        <x:v>0</x:v>
      </x:c>
      <x:c r="H23" s="172" t="n">
        <x:v>0</x:v>
      </x:c>
      <x:c r="I23" s="172" t="n">
        <x:v>0</x:v>
      </x:c>
      <x:c r="J23" s="172" t="n">
        <x:v>0</x:v>
      </x:c>
      <x:c r="K23" s="172" t="n">
        <x:v>0</x:v>
      </x:c>
      <x:c r="L23" s="173" t="n">
        <x:f>F23*I23</x:f>
        <x:v>0</x:v>
      </x:c>
      <x:c r="M23" s="173" t="n">
        <x:f>G23*J23</x:f>
        <x:v>0</x:v>
      </x:c>
      <x:c r="N23" s="173" t="n">
        <x:f>H23*K23</x:f>
        <x:v>0</x:v>
      </x:c>
      <x:c r="O23" s="157" t="n">
        <x:v>0</x:v>
      </x:c>
      <x:c r="P23" s="157" t="n">
        <x:v>0</x:v>
      </x:c>
      <x:c r="Q23" s="157" t="n">
        <x:v>0</x:v>
      </x:c>
      <x:c r="R23" s="157" t="n">
        <x:v>0</x:v>
      </x:c>
      <x:c r="S23" s="157" t="n">
        <x:v>0</x:v>
      </x:c>
      <x:c r="T23" s="157" t="n">
        <x:v>0</x:v>
      </x:c>
      <x:c r="U23" s="157" t="n">
        <x:v>0</x:v>
      </x:c>
      <x:c r="V23" s="157" t="n">
        <x:v>0</x:v>
      </x:c>
      <x:c r="W23" s="157" t="n">
        <x:v>0</x:v>
      </x:c>
      <x:c r="X23" s="174" t="n">
        <x:f>L23*O23*R23*U23</x:f>
        <x:v>0</x:v>
      </x:c>
      <x:c r="Y23" s="174" t="n">
        <x:f>M23*P23*S23*V23</x:f>
        <x:v>0</x:v>
      </x:c>
      <x:c r="Z23" s="174" t="n">
        <x:f>N23*Q23*T23*W23</x:f>
        <x:v>0</x:v>
      </x:c>
      <x:c r="AA23" s="171" t="str">
        <x:v>Letno</x:v>
      </x:c>
      <x:c r="AB23" s="171" t="str">
        <x:v>D</x:v>
      </x:c>
      <x:c r="AC23" s="171" t="n">
        <x:v>0.25</x:v>
      </x:c>
      <x:c r="AD23" s="171" t="str"/>
    </x:row>
    <x:row r="24">
      <x:c r="A24" s="171" t="str"/>
      <x:c r="B24" s="171" t="str"/>
      <x:c r="C24" s="171" t="str"/>
      <x:c r="D24" s="171" t="str"/>
      <x:c r="E24" s="171" t="str"/>
      <x:c r="F24" s="172" t="n">
        <x:v>0</x:v>
      </x:c>
      <x:c r="G24" s="172" t="n">
        <x:v>0</x:v>
      </x:c>
      <x:c r="H24" s="172" t="n">
        <x:v>0</x:v>
      </x:c>
      <x:c r="I24" s="172" t="n">
        <x:v>0</x:v>
      </x:c>
      <x:c r="J24" s="172" t="n">
        <x:v>0</x:v>
      </x:c>
      <x:c r="K24" s="172" t="n">
        <x:v>0</x:v>
      </x:c>
      <x:c r="L24" s="173" t="n">
        <x:f>F24*I24</x:f>
        <x:v>0</x:v>
      </x:c>
      <x:c r="M24" s="173" t="n">
        <x:f>G24*J24</x:f>
        <x:v>0</x:v>
      </x:c>
      <x:c r="N24" s="173" t="n">
        <x:f>H24*K24</x:f>
        <x:v>0</x:v>
      </x:c>
      <x:c r="O24" s="157" t="n">
        <x:v>0</x:v>
      </x:c>
      <x:c r="P24" s="157" t="n">
        <x:v>0</x:v>
      </x:c>
      <x:c r="Q24" s="157" t="n">
        <x:v>0</x:v>
      </x:c>
      <x:c r="R24" s="157" t="n">
        <x:v>0</x:v>
      </x:c>
      <x:c r="S24" s="157" t="n">
        <x:v>0</x:v>
      </x:c>
      <x:c r="T24" s="157" t="n">
        <x:v>0</x:v>
      </x:c>
      <x:c r="U24" s="157" t="n">
        <x:v>0</x:v>
      </x:c>
      <x:c r="V24" s="157" t="n">
        <x:v>0</x:v>
      </x:c>
      <x:c r="W24" s="157" t="n">
        <x:v>0</x:v>
      </x:c>
      <x:c r="X24" s="174" t="n">
        <x:f>L24*O24*R24*U24</x:f>
        <x:v>0</x:v>
      </x:c>
      <x:c r="Y24" s="174" t="n">
        <x:f>M24*P24*S24*V24</x:f>
        <x:v>0</x:v>
      </x:c>
      <x:c r="Z24" s="174" t="n">
        <x:f>N24*Q24*T24*W24</x:f>
        <x:v>0</x:v>
      </x:c>
      <x:c r="AA24" s="171" t="str">
        <x:v>Letno</x:v>
      </x:c>
      <x:c r="AB24" s="171" t="str">
        <x:v>D</x:v>
      </x:c>
      <x:c r="AC24" s="171" t="n">
        <x:v>0.25</x:v>
      </x:c>
      <x:c r="AD24" s="171" t="str"/>
    </x:row>
    <x:row r="25">
      <x:c r="A25" s="171" t="str"/>
      <x:c r="B25" s="171" t="str"/>
      <x:c r="C25" s="171" t="str"/>
      <x:c r="D25" s="171" t="str"/>
      <x:c r="E25" s="171" t="str"/>
      <x:c r="F25" s="172" t="n">
        <x:v>0</x:v>
      </x:c>
      <x:c r="G25" s="172" t="n">
        <x:v>0</x:v>
      </x:c>
      <x:c r="H25" s="172" t="n">
        <x:v>0</x:v>
      </x:c>
      <x:c r="I25" s="172" t="n">
        <x:v>0</x:v>
      </x:c>
      <x:c r="J25" s="172" t="n">
        <x:v>0</x:v>
      </x:c>
      <x:c r="K25" s="172" t="n">
        <x:v>0</x:v>
      </x:c>
      <x:c r="L25" s="173" t="n">
        <x:f>F25*I25</x:f>
        <x:v>0</x:v>
      </x:c>
      <x:c r="M25" s="173" t="n">
        <x:f>G25*J25</x:f>
        <x:v>0</x:v>
      </x:c>
      <x:c r="N25" s="173" t="n">
        <x:f>H25*K25</x:f>
        <x:v>0</x:v>
      </x:c>
      <x:c r="O25" s="157" t="n">
        <x:v>0</x:v>
      </x:c>
      <x:c r="P25" s="157" t="n">
        <x:v>0</x:v>
      </x:c>
      <x:c r="Q25" s="157" t="n">
        <x:v>0</x:v>
      </x:c>
      <x:c r="R25" s="157" t="n">
        <x:v>0</x:v>
      </x:c>
      <x:c r="S25" s="157" t="n">
        <x:v>0</x:v>
      </x:c>
      <x:c r="T25" s="157" t="n">
        <x:v>0</x:v>
      </x:c>
      <x:c r="U25" s="157" t="n">
        <x:v>0</x:v>
      </x:c>
      <x:c r="V25" s="157" t="n">
        <x:v>0</x:v>
      </x:c>
      <x:c r="W25" s="157" t="n">
        <x:v>0</x:v>
      </x:c>
      <x:c r="X25" s="174" t="n">
        <x:f>L25*O25*R25*U25</x:f>
        <x:v>0</x:v>
      </x:c>
      <x:c r="Y25" s="174" t="n">
        <x:f>M25*P25*S25*V25</x:f>
        <x:v>0</x:v>
      </x:c>
      <x:c r="Z25" s="174" t="n">
        <x:f>N25*Q25*T25*W25</x:f>
        <x:v>0</x:v>
      </x:c>
      <x:c r="AA25" s="171" t="str">
        <x:v>Letno</x:v>
      </x:c>
      <x:c r="AB25" s="171" t="str">
        <x:v>D</x:v>
      </x:c>
      <x:c r="AC25" s="171" t="n">
        <x:v>0.25</x:v>
      </x:c>
      <x:c r="AD25" s="171" t="str"/>
    </x:row>
    <x:row r="26">
      <x:c r="A26" s="171" t="str"/>
      <x:c r="B26" s="171" t="str"/>
      <x:c r="C26" s="171" t="str"/>
      <x:c r="D26" s="171" t="str"/>
      <x:c r="E26" s="171" t="str"/>
      <x:c r="F26" s="172" t="n">
        <x:v>0</x:v>
      </x:c>
      <x:c r="G26" s="172" t="n">
        <x:v>0</x:v>
      </x:c>
      <x:c r="H26" s="172" t="n">
        <x:v>0</x:v>
      </x:c>
      <x:c r="I26" s="172" t="n">
        <x:v>0</x:v>
      </x:c>
      <x:c r="J26" s="172" t="n">
        <x:v>0</x:v>
      </x:c>
      <x:c r="K26" s="172" t="n">
        <x:v>0</x:v>
      </x:c>
      <x:c r="L26" s="173" t="n">
        <x:f>F26*I26</x:f>
        <x:v>0</x:v>
      </x:c>
      <x:c r="M26" s="173" t="n">
        <x:f>G26*J26</x:f>
        <x:v>0</x:v>
      </x:c>
      <x:c r="N26" s="173" t="n">
        <x:f>H26*K26</x:f>
        <x:v>0</x:v>
      </x:c>
      <x:c r="O26" s="157" t="n">
        <x:v>0</x:v>
      </x:c>
      <x:c r="P26" s="157" t="n">
        <x:v>0</x:v>
      </x:c>
      <x:c r="Q26" s="157" t="n">
        <x:v>0</x:v>
      </x:c>
      <x:c r="R26" s="157" t="n">
        <x:v>0</x:v>
      </x:c>
      <x:c r="S26" s="157" t="n">
        <x:v>0</x:v>
      </x:c>
      <x:c r="T26" s="157" t="n">
        <x:v>0</x:v>
      </x:c>
      <x:c r="U26" s="157" t="n">
        <x:v>0</x:v>
      </x:c>
      <x:c r="V26" s="157" t="n">
        <x:v>0</x:v>
      </x:c>
      <x:c r="W26" s="157" t="n">
        <x:v>0</x:v>
      </x:c>
      <x:c r="X26" s="174" t="n">
        <x:f>L26*O26*R26*U26</x:f>
        <x:v>0</x:v>
      </x:c>
      <x:c r="Y26" s="174" t="n">
        <x:f>M26*P26*S26*V26</x:f>
        <x:v>0</x:v>
      </x:c>
      <x:c r="Z26" s="174" t="n">
        <x:f>N26*Q26*T26*W26</x:f>
        <x:v>0</x:v>
      </x:c>
      <x:c r="AA26" s="171" t="str">
        <x:v>Letno</x:v>
      </x:c>
      <x:c r="AB26" s="171" t="str">
        <x:v>D</x:v>
      </x:c>
      <x:c r="AC26" s="171" t="n">
        <x:v>0.25</x:v>
      </x:c>
      <x:c r="AD26" s="171" t="str"/>
    </x:row>
    <x:row r="27">
      <x:c r="A27" s="171" t="str"/>
      <x:c r="B27" s="171" t="str"/>
      <x:c r="C27" s="171" t="str"/>
      <x:c r="D27" s="171" t="str"/>
      <x:c r="E27" s="171" t="str"/>
      <x:c r="F27" s="172" t="n">
        <x:v>0</x:v>
      </x:c>
      <x:c r="G27" s="172" t="n">
        <x:v>0</x:v>
      </x:c>
      <x:c r="H27" s="172" t="n">
        <x:v>0</x:v>
      </x:c>
      <x:c r="I27" s="172" t="n">
        <x:v>0</x:v>
      </x:c>
      <x:c r="J27" s="172" t="n">
        <x:v>0</x:v>
      </x:c>
      <x:c r="K27" s="172" t="n">
        <x:v>0</x:v>
      </x:c>
      <x:c r="L27" s="173" t="n">
        <x:f>F27*I27</x:f>
        <x:v>0</x:v>
      </x:c>
      <x:c r="M27" s="173" t="n">
        <x:f>G27*J27</x:f>
        <x:v>0</x:v>
      </x:c>
      <x:c r="N27" s="173" t="n">
        <x:f>H27*K27</x:f>
        <x:v>0</x:v>
      </x:c>
      <x:c r="O27" s="157" t="n">
        <x:v>0</x:v>
      </x:c>
      <x:c r="P27" s="157" t="n">
        <x:v>0</x:v>
      </x:c>
      <x:c r="Q27" s="157" t="n">
        <x:v>0</x:v>
      </x:c>
      <x:c r="R27" s="157" t="n">
        <x:v>0</x:v>
      </x:c>
      <x:c r="S27" s="157" t="n">
        <x:v>0</x:v>
      </x:c>
      <x:c r="T27" s="157" t="n">
        <x:v>0</x:v>
      </x:c>
      <x:c r="U27" s="157" t="n">
        <x:v>0</x:v>
      </x:c>
      <x:c r="V27" s="157" t="n">
        <x:v>0</x:v>
      </x:c>
      <x:c r="W27" s="157" t="n">
        <x:v>0</x:v>
      </x:c>
      <x:c r="X27" s="174" t="n">
        <x:f>L27*O27*R27*U27</x:f>
        <x:v>0</x:v>
      </x:c>
      <x:c r="Y27" s="174" t="n">
        <x:f>M27*P27*S27*V27</x:f>
        <x:v>0</x:v>
      </x:c>
      <x:c r="Z27" s="174" t="n">
        <x:f>N27*Q27*T27*W27</x:f>
        <x:v>0</x:v>
      </x:c>
      <x:c r="AA27" s="171" t="str">
        <x:v>Letno</x:v>
      </x:c>
      <x:c r="AB27" s="171" t="str">
        <x:v>D</x:v>
      </x:c>
      <x:c r="AC27" s="171" t="n">
        <x:v>0.25</x:v>
      </x:c>
      <x:c r="AD27" s="171" t="str"/>
    </x:row>
    <x:row r="28">
      <x:c r="A28" s="171" t="str"/>
      <x:c r="B28" s="171" t="str"/>
      <x:c r="C28" s="171" t="str"/>
      <x:c r="D28" s="171" t="str"/>
      <x:c r="E28" s="171" t="str"/>
      <x:c r="F28" s="172" t="n">
        <x:v>0</x:v>
      </x:c>
      <x:c r="G28" s="172" t="n">
        <x:v>0</x:v>
      </x:c>
      <x:c r="H28" s="172" t="n">
        <x:v>0</x:v>
      </x:c>
      <x:c r="I28" s="172" t="n">
        <x:v>0</x:v>
      </x:c>
      <x:c r="J28" s="172" t="n">
        <x:v>0</x:v>
      </x:c>
      <x:c r="K28" s="172" t="n">
        <x:v>0</x:v>
      </x:c>
      <x:c r="L28" s="173" t="n">
        <x:f>F28*I28</x:f>
        <x:v>0</x:v>
      </x:c>
      <x:c r="M28" s="173" t="n">
        <x:f>G28*J28</x:f>
        <x:v>0</x:v>
      </x:c>
      <x:c r="N28" s="173" t="n">
        <x:f>H28*K28</x:f>
        <x:v>0</x:v>
      </x:c>
      <x:c r="O28" s="157" t="n">
        <x:v>0</x:v>
      </x:c>
      <x:c r="P28" s="157" t="n">
        <x:v>0</x:v>
      </x:c>
      <x:c r="Q28" s="157" t="n">
        <x:v>0</x:v>
      </x:c>
      <x:c r="R28" s="157" t="n">
        <x:v>0</x:v>
      </x:c>
      <x:c r="S28" s="157" t="n">
        <x:v>0</x:v>
      </x:c>
      <x:c r="T28" s="157" t="n">
        <x:v>0</x:v>
      </x:c>
      <x:c r="U28" s="157" t="n">
        <x:v>0</x:v>
      </x:c>
      <x:c r="V28" s="157" t="n">
        <x:v>0</x:v>
      </x:c>
      <x:c r="W28" s="157" t="n">
        <x:v>0</x:v>
      </x:c>
      <x:c r="X28" s="174" t="n">
        <x:f>L28*O28*R28*U28</x:f>
        <x:v>0</x:v>
      </x:c>
      <x:c r="Y28" s="174" t="n">
        <x:f>M28*P28*S28*V28</x:f>
        <x:v>0</x:v>
      </x:c>
      <x:c r="Z28" s="174" t="n">
        <x:f>N28*Q28*T28*W28</x:f>
        <x:v>0</x:v>
      </x:c>
      <x:c r="AA28" s="171" t="str">
        <x:v>Letno</x:v>
      </x:c>
      <x:c r="AB28" s="171" t="str">
        <x:v>D</x:v>
      </x:c>
      <x:c r="AC28" s="171" t="n">
        <x:v>0.25</x:v>
      </x:c>
      <x:c r="AD28" s="171" t="str"/>
    </x:row>
    <x:row r="29">
      <x:c r="A29" s="171" t="str"/>
      <x:c r="B29" s="171" t="str"/>
      <x:c r="C29" s="171" t="str"/>
      <x:c r="D29" s="171" t="str"/>
      <x:c r="E29" s="171" t="str"/>
      <x:c r="F29" s="172" t="n">
        <x:v>0</x:v>
      </x:c>
      <x:c r="G29" s="172" t="n">
        <x:v>0</x:v>
      </x:c>
      <x:c r="H29" s="172" t="n">
        <x:v>0</x:v>
      </x:c>
      <x:c r="I29" s="172" t="n">
        <x:v>0</x:v>
      </x:c>
      <x:c r="J29" s="172" t="n">
        <x:v>0</x:v>
      </x:c>
      <x:c r="K29" s="172" t="n">
        <x:v>0</x:v>
      </x:c>
      <x:c r="L29" s="173" t="n">
        <x:f>F29*I29</x:f>
        <x:v>0</x:v>
      </x:c>
      <x:c r="M29" s="173" t="n">
        <x:f>G29*J29</x:f>
        <x:v>0</x:v>
      </x:c>
      <x:c r="N29" s="173" t="n">
        <x:f>H29*K29</x:f>
        <x:v>0</x:v>
      </x:c>
      <x:c r="O29" s="157" t="n">
        <x:v>0</x:v>
      </x:c>
      <x:c r="P29" s="157" t="n">
        <x:v>0</x:v>
      </x:c>
      <x:c r="Q29" s="157" t="n">
        <x:v>0</x:v>
      </x:c>
      <x:c r="R29" s="157" t="n">
        <x:v>0</x:v>
      </x:c>
      <x:c r="S29" s="157" t="n">
        <x:v>0</x:v>
      </x:c>
      <x:c r="T29" s="157" t="n">
        <x:v>0</x:v>
      </x:c>
      <x:c r="U29" s="157" t="n">
        <x:v>0</x:v>
      </x:c>
      <x:c r="V29" s="157" t="n">
        <x:v>0</x:v>
      </x:c>
      <x:c r="W29" s="157" t="n">
        <x:v>0</x:v>
      </x:c>
      <x:c r="X29" s="174" t="n">
        <x:f>L29*O29*R29*U29</x:f>
        <x:v>0</x:v>
      </x:c>
      <x:c r="Y29" s="174" t="n">
        <x:f>M29*P29*S29*V29</x:f>
        <x:v>0</x:v>
      </x:c>
      <x:c r="Z29" s="174" t="n">
        <x:f>N29*Q29*T29*W29</x:f>
        <x:v>0</x:v>
      </x:c>
      <x:c r="AA29" s="171" t="str">
        <x:v>Letno</x:v>
      </x:c>
      <x:c r="AB29" s="171" t="str">
        <x:v>D</x:v>
      </x:c>
      <x:c r="AC29" s="171" t="n">
        <x:v>0.25</x:v>
      </x:c>
      <x:c r="AD29" s="171" t="str"/>
    </x:row>
    <x:row r="30">
      <x:c r="A30" s="171" t="str"/>
      <x:c r="B30" s="171" t="str"/>
      <x:c r="C30" s="171" t="str"/>
      <x:c r="D30" s="171" t="str"/>
      <x:c r="E30" s="171" t="str"/>
      <x:c r="F30" s="172" t="n">
        <x:v>0</x:v>
      </x:c>
      <x:c r="G30" s="172" t="n">
        <x:v>0</x:v>
      </x:c>
      <x:c r="H30" s="172" t="n">
        <x:v>0</x:v>
      </x:c>
      <x:c r="I30" s="172" t="n">
        <x:v>0</x:v>
      </x:c>
      <x:c r="J30" s="172" t="n">
        <x:v>0</x:v>
      </x:c>
      <x:c r="K30" s="172" t="n">
        <x:v>0</x:v>
      </x:c>
      <x:c r="L30" s="173" t="n">
        <x:f>F30*I30</x:f>
        <x:v>0</x:v>
      </x:c>
      <x:c r="M30" s="173" t="n">
        <x:f>G30*J30</x:f>
        <x:v>0</x:v>
      </x:c>
      <x:c r="N30" s="173" t="n">
        <x:f>H30*K30</x:f>
        <x:v>0</x:v>
      </x:c>
      <x:c r="O30" s="157" t="n">
        <x:v>0</x:v>
      </x:c>
      <x:c r="P30" s="157" t="n">
        <x:v>0</x:v>
      </x:c>
      <x:c r="Q30" s="157" t="n">
        <x:v>0</x:v>
      </x:c>
      <x:c r="R30" s="157" t="n">
        <x:v>0</x:v>
      </x:c>
      <x:c r="S30" s="157" t="n">
        <x:v>0</x:v>
      </x:c>
      <x:c r="T30" s="157" t="n">
        <x:v>0</x:v>
      </x:c>
      <x:c r="U30" s="157" t="n">
        <x:v>0</x:v>
      </x:c>
      <x:c r="V30" s="157" t="n">
        <x:v>0</x:v>
      </x:c>
      <x:c r="W30" s="157" t="n">
        <x:v>0</x:v>
      </x:c>
      <x:c r="X30" s="174" t="n">
        <x:f>L30*O30*R30*U30</x:f>
        <x:v>0</x:v>
      </x:c>
      <x:c r="Y30" s="174" t="n">
        <x:f>M30*P30*S30*V30</x:f>
        <x:v>0</x:v>
      </x:c>
      <x:c r="Z30" s="174" t="n">
        <x:f>N30*Q30*T30*W30</x:f>
        <x:v>0</x:v>
      </x:c>
      <x:c r="AA30" s="171" t="str">
        <x:v>Letno</x:v>
      </x:c>
      <x:c r="AB30" s="171" t="str">
        <x:v>D</x:v>
      </x:c>
      <x:c r="AC30" s="171" t="n">
        <x:v>0.25</x:v>
      </x:c>
      <x:c r="AD30" s="171" t="str"/>
    </x:row>
    <x:row r="31">
      <x:c r="A31" s="171" t="str"/>
      <x:c r="B31" s="171" t="str"/>
      <x:c r="C31" s="171" t="str"/>
      <x:c r="D31" s="171" t="str"/>
      <x:c r="E31" s="171" t="str"/>
      <x:c r="F31" s="172" t="n">
        <x:v>0</x:v>
      </x:c>
      <x:c r="G31" s="172" t="n">
        <x:v>0</x:v>
      </x:c>
      <x:c r="H31" s="172" t="n">
        <x:v>0</x:v>
      </x:c>
      <x:c r="I31" s="172" t="n">
        <x:v>0</x:v>
      </x:c>
      <x:c r="J31" s="172" t="n">
        <x:v>0</x:v>
      </x:c>
      <x:c r="K31" s="172" t="n">
        <x:v>0</x:v>
      </x:c>
      <x:c r="L31" s="173" t="n">
        <x:f>F31*I31</x:f>
        <x:v>0</x:v>
      </x:c>
      <x:c r="M31" s="173" t="n">
        <x:f>G31*J31</x:f>
        <x:v>0</x:v>
      </x:c>
      <x:c r="N31" s="173" t="n">
        <x:f>H31*K31</x:f>
        <x:v>0</x:v>
      </x:c>
      <x:c r="O31" s="157" t="n">
        <x:v>0</x:v>
      </x:c>
      <x:c r="P31" s="157" t="n">
        <x:v>0</x:v>
      </x:c>
      <x:c r="Q31" s="157" t="n">
        <x:v>0</x:v>
      </x:c>
      <x:c r="R31" s="157" t="n">
        <x:v>0</x:v>
      </x:c>
      <x:c r="S31" s="157" t="n">
        <x:v>0</x:v>
      </x:c>
      <x:c r="T31" s="157" t="n">
        <x:v>0</x:v>
      </x:c>
      <x:c r="U31" s="157" t="n">
        <x:v>0</x:v>
      </x:c>
      <x:c r="V31" s="157" t="n">
        <x:v>0</x:v>
      </x:c>
      <x:c r="W31" s="157" t="n">
        <x:v>0</x:v>
      </x:c>
      <x:c r="X31" s="174" t="n">
        <x:f>L31*O31*R31*U31</x:f>
        <x:v>0</x:v>
      </x:c>
      <x:c r="Y31" s="174" t="n">
        <x:f>M31*P31*S31*V31</x:f>
        <x:v>0</x:v>
      </x:c>
      <x:c r="Z31" s="174" t="n">
        <x:f>N31*Q31*T31*W31</x:f>
        <x:v>0</x:v>
      </x:c>
      <x:c r="AA31" s="171" t="str">
        <x:v>Letno</x:v>
      </x:c>
      <x:c r="AB31" s="171" t="str">
        <x:v>D</x:v>
      </x:c>
      <x:c r="AC31" s="171" t="n">
        <x:v>0.25</x:v>
      </x:c>
      <x:c r="AD31" s="171" t="str"/>
    </x:row>
    <x:row r="32">
      <x:c r="A32" s="171" t="str"/>
      <x:c r="B32" s="171" t="str"/>
      <x:c r="C32" s="171" t="str"/>
      <x:c r="D32" s="171" t="str"/>
      <x:c r="E32" s="171" t="str"/>
      <x:c r="F32" s="172" t="n">
        <x:v>0</x:v>
      </x:c>
      <x:c r="G32" s="172" t="n">
        <x:v>0</x:v>
      </x:c>
      <x:c r="H32" s="172" t="n">
        <x:v>0</x:v>
      </x:c>
      <x:c r="I32" s="172" t="n">
        <x:v>0</x:v>
      </x:c>
      <x:c r="J32" s="172" t="n">
        <x:v>0</x:v>
      </x:c>
      <x:c r="K32" s="172" t="n">
        <x:v>0</x:v>
      </x:c>
      <x:c r="L32" s="173" t="n">
        <x:f>F32*I32</x:f>
        <x:v>0</x:v>
      </x:c>
      <x:c r="M32" s="173" t="n">
        <x:f>G32*J32</x:f>
        <x:v>0</x:v>
      </x:c>
      <x:c r="N32" s="173" t="n">
        <x:f>H32*K32</x:f>
        <x:v>0</x:v>
      </x:c>
      <x:c r="O32" s="157" t="n">
        <x:v>0</x:v>
      </x:c>
      <x:c r="P32" s="157" t="n">
        <x:v>0</x:v>
      </x:c>
      <x:c r="Q32" s="157" t="n">
        <x:v>0</x:v>
      </x:c>
      <x:c r="R32" s="157" t="n">
        <x:v>0</x:v>
      </x:c>
      <x:c r="S32" s="157" t="n">
        <x:v>0</x:v>
      </x:c>
      <x:c r="T32" s="157" t="n">
        <x:v>0</x:v>
      </x:c>
      <x:c r="U32" s="157" t="n">
        <x:v>0</x:v>
      </x:c>
      <x:c r="V32" s="157" t="n">
        <x:v>0</x:v>
      </x:c>
      <x:c r="W32" s="157" t="n">
        <x:v>0</x:v>
      </x:c>
      <x:c r="X32" s="174" t="n">
        <x:f>L32*O32*R32*U32</x:f>
        <x:v>0</x:v>
      </x:c>
      <x:c r="Y32" s="174" t="n">
        <x:f>M32*P32*S32*V32</x:f>
        <x:v>0</x:v>
      </x:c>
      <x:c r="Z32" s="174" t="n">
        <x:f>N32*Q32*T32*W32</x:f>
        <x:v>0</x:v>
      </x:c>
      <x:c r="AA32" s="171" t="str">
        <x:v>Letno</x:v>
      </x:c>
      <x:c r="AB32" s="171" t="str">
        <x:v>D</x:v>
      </x:c>
      <x:c r="AC32" s="171" t="n">
        <x:v>0.25</x:v>
      </x:c>
      <x:c r="AD32" s="171" t="str"/>
    </x:row>
    <x:row r="33">
      <x:c r="A33" s="171" t="str"/>
      <x:c r="B33" s="171" t="str"/>
      <x:c r="C33" s="171" t="str"/>
      <x:c r="D33" s="171" t="str"/>
      <x:c r="E33" s="171" t="str"/>
      <x:c r="F33" s="172" t="n">
        <x:v>0</x:v>
      </x:c>
      <x:c r="G33" s="172" t="n">
        <x:v>0</x:v>
      </x:c>
      <x:c r="H33" s="172" t="n">
        <x:v>0</x:v>
      </x:c>
      <x:c r="I33" s="172" t="n">
        <x:v>0</x:v>
      </x:c>
      <x:c r="J33" s="172" t="n">
        <x:v>0</x:v>
      </x:c>
      <x:c r="K33" s="172" t="n">
        <x:v>0</x:v>
      </x:c>
      <x:c r="L33" s="173" t="n">
        <x:f>F33*I33</x:f>
        <x:v>0</x:v>
      </x:c>
      <x:c r="M33" s="173" t="n">
        <x:f>G33*J33</x:f>
        <x:v>0</x:v>
      </x:c>
      <x:c r="N33" s="173" t="n">
        <x:f>H33*K33</x:f>
        <x:v>0</x:v>
      </x:c>
      <x:c r="O33" s="157" t="n">
        <x:v>0</x:v>
      </x:c>
      <x:c r="P33" s="157" t="n">
        <x:v>0</x:v>
      </x:c>
      <x:c r="Q33" s="157" t="n">
        <x:v>0</x:v>
      </x:c>
      <x:c r="R33" s="157" t="n">
        <x:v>0</x:v>
      </x:c>
      <x:c r="S33" s="157" t="n">
        <x:v>0</x:v>
      </x:c>
      <x:c r="T33" s="157" t="n">
        <x:v>0</x:v>
      </x:c>
      <x:c r="U33" s="157" t="n">
        <x:v>0</x:v>
      </x:c>
      <x:c r="V33" s="157" t="n">
        <x:v>0</x:v>
      </x:c>
      <x:c r="W33" s="157" t="n">
        <x:v>0</x:v>
      </x:c>
      <x:c r="X33" s="174" t="n">
        <x:f>L33*O33*R33*U33</x:f>
        <x:v>0</x:v>
      </x:c>
      <x:c r="Y33" s="174" t="n">
        <x:f>M33*P33*S33*V33</x:f>
        <x:v>0</x:v>
      </x:c>
      <x:c r="Z33" s="174" t="n">
        <x:f>N33*Q33*T33*W33</x:f>
        <x:v>0</x:v>
      </x:c>
      <x:c r="AA33" s="171" t="str">
        <x:v>Letno</x:v>
      </x:c>
      <x:c r="AB33" s="171" t="str">
        <x:v>D</x:v>
      </x:c>
      <x:c r="AC33" s="171" t="n">
        <x:v>0.25</x:v>
      </x:c>
      <x:c r="AD33" s="171" t="str"/>
    </x:row>
    <x:row r="34">
      <x:c r="A34" s="171" t="str"/>
      <x:c r="B34" s="171" t="str"/>
      <x:c r="C34" s="171" t="str"/>
      <x:c r="D34" s="171" t="str"/>
      <x:c r="E34" s="171" t="str"/>
      <x:c r="F34" s="172" t="n">
        <x:v>0</x:v>
      </x:c>
      <x:c r="G34" s="172" t="n">
        <x:v>0</x:v>
      </x:c>
      <x:c r="H34" s="172" t="n">
        <x:v>0</x:v>
      </x:c>
      <x:c r="I34" s="172" t="n">
        <x:v>0</x:v>
      </x:c>
      <x:c r="J34" s="172" t="n">
        <x:v>0</x:v>
      </x:c>
      <x:c r="K34" s="172" t="n">
        <x:v>0</x:v>
      </x:c>
      <x:c r="L34" s="173" t="n">
        <x:f>F34*I34</x:f>
        <x:v>0</x:v>
      </x:c>
      <x:c r="M34" s="173" t="n">
        <x:f>G34*J34</x:f>
        <x:v>0</x:v>
      </x:c>
      <x:c r="N34" s="173" t="n">
        <x:f>H34*K34</x:f>
        <x:v>0</x:v>
      </x:c>
      <x:c r="O34" s="157" t="n">
        <x:v>0</x:v>
      </x:c>
      <x:c r="P34" s="157" t="n">
        <x:v>0</x:v>
      </x:c>
      <x:c r="Q34" s="157" t="n">
        <x:v>0</x:v>
      </x:c>
      <x:c r="R34" s="157" t="n">
        <x:v>0</x:v>
      </x:c>
      <x:c r="S34" s="157" t="n">
        <x:v>0</x:v>
      </x:c>
      <x:c r="T34" s="157" t="n">
        <x:v>0</x:v>
      </x:c>
      <x:c r="U34" s="157" t="n">
        <x:v>0</x:v>
      </x:c>
      <x:c r="V34" s="157" t="n">
        <x:v>0</x:v>
      </x:c>
      <x:c r="W34" s="157" t="n">
        <x:v>0</x:v>
      </x:c>
      <x:c r="X34" s="174" t="n">
        <x:f>L34*O34*R34*U34</x:f>
        <x:v>0</x:v>
      </x:c>
      <x:c r="Y34" s="174" t="n">
        <x:f>M34*P34*S34*V34</x:f>
        <x:v>0</x:v>
      </x:c>
      <x:c r="Z34" s="174" t="n">
        <x:f>N34*Q34*T34*W34</x:f>
        <x:v>0</x:v>
      </x:c>
      <x:c r="AA34" s="171" t="str">
        <x:v>Letno</x:v>
      </x:c>
      <x:c r="AB34" s="171" t="str">
        <x:v>D</x:v>
      </x:c>
      <x:c r="AC34" s="171" t="n">
        <x:v>0.25</x:v>
      </x:c>
      <x:c r="AD34" s="171" t="str"/>
    </x:row>
    <x:row r="35">
      <x:c r="A35" s="171" t="str"/>
      <x:c r="B35" s="171" t="str"/>
      <x:c r="C35" s="171" t="str"/>
      <x:c r="D35" s="171" t="str"/>
      <x:c r="E35" s="171" t="str"/>
      <x:c r="F35" s="172" t="n">
        <x:v>0</x:v>
      </x:c>
      <x:c r="G35" s="172" t="n">
        <x:v>0</x:v>
      </x:c>
      <x:c r="H35" s="172" t="n">
        <x:v>0</x:v>
      </x:c>
      <x:c r="I35" s="172" t="n">
        <x:v>0</x:v>
      </x:c>
      <x:c r="J35" s="172" t="n">
        <x:v>0</x:v>
      </x:c>
      <x:c r="K35" s="172" t="n">
        <x:v>0</x:v>
      </x:c>
      <x:c r="L35" s="173" t="n">
        <x:f>F35*I35</x:f>
        <x:v>0</x:v>
      </x:c>
      <x:c r="M35" s="173" t="n">
        <x:f>G35*J35</x:f>
        <x:v>0</x:v>
      </x:c>
      <x:c r="N35" s="173" t="n">
        <x:f>H35*K35</x:f>
        <x:v>0</x:v>
      </x:c>
      <x:c r="O35" s="157" t="n">
        <x:v>0</x:v>
      </x:c>
      <x:c r="P35" s="157" t="n">
        <x:v>0</x:v>
      </x:c>
      <x:c r="Q35" s="157" t="n">
        <x:v>0</x:v>
      </x:c>
      <x:c r="R35" s="157" t="n">
        <x:v>0</x:v>
      </x:c>
      <x:c r="S35" s="157" t="n">
        <x:v>0</x:v>
      </x:c>
      <x:c r="T35" s="157" t="n">
        <x:v>0</x:v>
      </x:c>
      <x:c r="U35" s="157" t="n">
        <x:v>0</x:v>
      </x:c>
      <x:c r="V35" s="157" t="n">
        <x:v>0</x:v>
      </x:c>
      <x:c r="W35" s="157" t="n">
        <x:v>0</x:v>
      </x:c>
      <x:c r="X35" s="174" t="n">
        <x:f>L35*O35*R35*U35</x:f>
        <x:v>0</x:v>
      </x:c>
      <x:c r="Y35" s="174" t="n">
        <x:f>M35*P35*S35*V35</x:f>
        <x:v>0</x:v>
      </x:c>
      <x:c r="Z35" s="174" t="n">
        <x:f>N35*Q35*T35*W35</x:f>
        <x:v>0</x:v>
      </x:c>
      <x:c r="AA35" s="171" t="str">
        <x:v>Letno</x:v>
      </x:c>
      <x:c r="AB35" s="171" t="str">
        <x:v>D</x:v>
      </x:c>
      <x:c r="AC35" s="171" t="n">
        <x:v>0.25</x:v>
      </x:c>
      <x:c r="AD35" s="171" t="str"/>
    </x:row>
    <x:row r="36">
      <x:c r="A36" s="171" t="str"/>
      <x:c r="B36" s="171" t="str"/>
      <x:c r="C36" s="171" t="str"/>
      <x:c r="D36" s="171" t="str"/>
      <x:c r="E36" s="171" t="str"/>
      <x:c r="F36" s="172" t="n">
        <x:v>0</x:v>
      </x:c>
      <x:c r="G36" s="172" t="n">
        <x:v>0</x:v>
      </x:c>
      <x:c r="H36" s="172" t="n">
        <x:v>0</x:v>
      </x:c>
      <x:c r="I36" s="172" t="n">
        <x:v>0</x:v>
      </x:c>
      <x:c r="J36" s="172" t="n">
        <x:v>0</x:v>
      </x:c>
      <x:c r="K36" s="172" t="n">
        <x:v>0</x:v>
      </x:c>
      <x:c r="L36" s="173" t="n">
        <x:f>F36*I36</x:f>
        <x:v>0</x:v>
      </x:c>
      <x:c r="M36" s="173" t="n">
        <x:f>G36*J36</x:f>
        <x:v>0</x:v>
      </x:c>
      <x:c r="N36" s="173" t="n">
        <x:f>H36*K36</x:f>
        <x:v>0</x:v>
      </x:c>
      <x:c r="O36" s="157" t="n">
        <x:v>0</x:v>
      </x:c>
      <x:c r="P36" s="157" t="n">
        <x:v>0</x:v>
      </x:c>
      <x:c r="Q36" s="157" t="n">
        <x:v>0</x:v>
      </x:c>
      <x:c r="R36" s="157" t="n">
        <x:v>0</x:v>
      </x:c>
      <x:c r="S36" s="157" t="n">
        <x:v>0</x:v>
      </x:c>
      <x:c r="T36" s="157" t="n">
        <x:v>0</x:v>
      </x:c>
      <x:c r="U36" s="157" t="n">
        <x:v>0</x:v>
      </x:c>
      <x:c r="V36" s="157" t="n">
        <x:v>0</x:v>
      </x:c>
      <x:c r="W36" s="157" t="n">
        <x:v>0</x:v>
      </x:c>
      <x:c r="X36" s="174" t="n">
        <x:f>L36*O36*R36*U36</x:f>
        <x:v>0</x:v>
      </x:c>
      <x:c r="Y36" s="174" t="n">
        <x:f>M36*P36*S36*V36</x:f>
        <x:v>0</x:v>
      </x:c>
      <x:c r="Z36" s="174" t="n">
        <x:f>N36*Q36*T36*W36</x:f>
        <x:v>0</x:v>
      </x:c>
      <x:c r="AA36" s="171" t="str">
        <x:v>Letno</x:v>
      </x:c>
      <x:c r="AB36" s="171" t="str">
        <x:v>D</x:v>
      </x:c>
      <x:c r="AC36" s="171" t="n">
        <x:v>0.25</x:v>
      </x:c>
      <x:c r="AD36" s="171" t="str"/>
    </x:row>
    <x:row r="37">
      <x:c r="A37" s="171" t="str"/>
      <x:c r="B37" s="171" t="str"/>
      <x:c r="C37" s="171" t="str"/>
      <x:c r="D37" s="171" t="str"/>
      <x:c r="E37" s="171" t="str"/>
      <x:c r="F37" s="172" t="n">
        <x:v>0</x:v>
      </x:c>
      <x:c r="G37" s="172" t="n">
        <x:v>0</x:v>
      </x:c>
      <x:c r="H37" s="172" t="n">
        <x:v>0</x:v>
      </x:c>
      <x:c r="I37" s="172" t="n">
        <x:v>0</x:v>
      </x:c>
      <x:c r="J37" s="172" t="n">
        <x:v>0</x:v>
      </x:c>
      <x:c r="K37" s="172" t="n">
        <x:v>0</x:v>
      </x:c>
      <x:c r="L37" s="173" t="n">
        <x:f>F37*I37</x:f>
        <x:v>0</x:v>
      </x:c>
      <x:c r="M37" s="173" t="n">
        <x:f>G37*J37</x:f>
        <x:v>0</x:v>
      </x:c>
      <x:c r="N37" s="173" t="n">
        <x:f>H37*K37</x:f>
        <x:v>0</x:v>
      </x:c>
      <x:c r="O37" s="157" t="n">
        <x:v>0</x:v>
      </x:c>
      <x:c r="P37" s="157" t="n">
        <x:v>0</x:v>
      </x:c>
      <x:c r="Q37" s="157" t="n">
        <x:v>0</x:v>
      </x:c>
      <x:c r="R37" s="157" t="n">
        <x:v>0</x:v>
      </x:c>
      <x:c r="S37" s="157" t="n">
        <x:v>0</x:v>
      </x:c>
      <x:c r="T37" s="157" t="n">
        <x:v>0</x:v>
      </x:c>
      <x:c r="U37" s="157" t="n">
        <x:v>0</x:v>
      </x:c>
      <x:c r="V37" s="157" t="n">
        <x:v>0</x:v>
      </x:c>
      <x:c r="W37" s="157" t="n">
        <x:v>0</x:v>
      </x:c>
      <x:c r="X37" s="174" t="n">
        <x:f>L37*O37*R37*U37</x:f>
        <x:v>0</x:v>
      </x:c>
      <x:c r="Y37" s="174" t="n">
        <x:f>M37*P37*S37*V37</x:f>
        <x:v>0</x:v>
      </x:c>
      <x:c r="Z37" s="174" t="n">
        <x:f>N37*Q37*T37*W37</x:f>
        <x:v>0</x:v>
      </x:c>
      <x:c r="AA37" s="171" t="str">
        <x:v>Letno</x:v>
      </x:c>
      <x:c r="AB37" s="171" t="str">
        <x:v>D</x:v>
      </x:c>
      <x:c r="AC37" s="171" t="n">
        <x:v>0.25</x:v>
      </x:c>
      <x:c r="AD37" s="171" t="str"/>
    </x:row>
    <x:row r="38">
      <x:c r="A38" s="171" t="str"/>
      <x:c r="B38" s="171" t="str"/>
      <x:c r="C38" s="171" t="str"/>
      <x:c r="D38" s="171" t="str"/>
      <x:c r="E38" s="171" t="str"/>
      <x:c r="F38" s="172" t="n">
        <x:v>0</x:v>
      </x:c>
      <x:c r="G38" s="172" t="n">
        <x:v>0</x:v>
      </x:c>
      <x:c r="H38" s="172" t="n">
        <x:v>0</x:v>
      </x:c>
      <x:c r="I38" s="172" t="n">
        <x:v>0</x:v>
      </x:c>
      <x:c r="J38" s="172" t="n">
        <x:v>0</x:v>
      </x:c>
      <x:c r="K38" s="172" t="n">
        <x:v>0</x:v>
      </x:c>
      <x:c r="L38" s="173" t="n">
        <x:f>F38*I38</x:f>
        <x:v>0</x:v>
      </x:c>
      <x:c r="M38" s="173" t="n">
        <x:f>G38*J38</x:f>
        <x:v>0</x:v>
      </x:c>
      <x:c r="N38" s="173" t="n">
        <x:f>H38*K38</x:f>
        <x:v>0</x:v>
      </x:c>
      <x:c r="O38" s="157" t="n">
        <x:v>0</x:v>
      </x:c>
      <x:c r="P38" s="157" t="n">
        <x:v>0</x:v>
      </x:c>
      <x:c r="Q38" s="157" t="n">
        <x:v>0</x:v>
      </x:c>
      <x:c r="R38" s="157" t="n">
        <x:v>0</x:v>
      </x:c>
      <x:c r="S38" s="157" t="n">
        <x:v>0</x:v>
      </x:c>
      <x:c r="T38" s="157" t="n">
        <x:v>0</x:v>
      </x:c>
      <x:c r="U38" s="157" t="n">
        <x:v>0</x:v>
      </x:c>
      <x:c r="V38" s="157" t="n">
        <x:v>0</x:v>
      </x:c>
      <x:c r="W38" s="157" t="n">
        <x:v>0</x:v>
      </x:c>
      <x:c r="X38" s="174" t="n">
        <x:f>L38*O38*R38*U38</x:f>
        <x:v>0</x:v>
      </x:c>
      <x:c r="Y38" s="174" t="n">
        <x:f>M38*P38*S38*V38</x:f>
        <x:v>0</x:v>
      </x:c>
      <x:c r="Z38" s="174" t="n">
        <x:f>N38*Q38*T38*W38</x:f>
        <x:v>0</x:v>
      </x:c>
      <x:c r="AA38" s="171" t="str">
        <x:v>Letno</x:v>
      </x:c>
      <x:c r="AB38" s="171" t="str">
        <x:v>D</x:v>
      </x:c>
      <x:c r="AC38" s="171" t="n">
        <x:v>0.25</x:v>
      </x:c>
      <x:c r="AD38" s="171" t="str"/>
    </x:row>
    <x:row r="39">
      <x:c r="A39" s="171" t="str"/>
      <x:c r="B39" s="171" t="str"/>
      <x:c r="C39" s="171" t="str"/>
      <x:c r="D39" s="171" t="str"/>
      <x:c r="E39" s="171" t="str"/>
      <x:c r="F39" s="172" t="n">
        <x:v>0</x:v>
      </x:c>
      <x:c r="G39" s="172" t="n">
        <x:v>0</x:v>
      </x:c>
      <x:c r="H39" s="172" t="n">
        <x:v>0</x:v>
      </x:c>
      <x:c r="I39" s="172" t="n">
        <x:v>0</x:v>
      </x:c>
      <x:c r="J39" s="172" t="n">
        <x:v>0</x:v>
      </x:c>
      <x:c r="K39" s="172" t="n">
        <x:v>0</x:v>
      </x:c>
      <x:c r="L39" s="173" t="n">
        <x:f>F39*I39</x:f>
        <x:v>0</x:v>
      </x:c>
      <x:c r="M39" s="173" t="n">
        <x:f>G39*J39</x:f>
        <x:v>0</x:v>
      </x:c>
      <x:c r="N39" s="173" t="n">
        <x:f>H39*K39</x:f>
        <x:v>0</x:v>
      </x:c>
      <x:c r="O39" s="157" t="n">
        <x:v>0</x:v>
      </x:c>
      <x:c r="P39" s="157" t="n">
        <x:v>0</x:v>
      </x:c>
      <x:c r="Q39" s="157" t="n">
        <x:v>0</x:v>
      </x:c>
      <x:c r="R39" s="157" t="n">
        <x:v>0</x:v>
      </x:c>
      <x:c r="S39" s="157" t="n">
        <x:v>0</x:v>
      </x:c>
      <x:c r="T39" s="157" t="n">
        <x:v>0</x:v>
      </x:c>
      <x:c r="U39" s="157" t="n">
        <x:v>0</x:v>
      </x:c>
      <x:c r="V39" s="157" t="n">
        <x:v>0</x:v>
      </x:c>
      <x:c r="W39" s="157" t="n">
        <x:v>0</x:v>
      </x:c>
      <x:c r="X39" s="174" t="n">
        <x:f>L39*O39*R39*U39</x:f>
        <x:v>0</x:v>
      </x:c>
      <x:c r="Y39" s="174" t="n">
        <x:f>M39*P39*S39*V39</x:f>
        <x:v>0</x:v>
      </x:c>
      <x:c r="Z39" s="174" t="n">
        <x:f>N39*Q39*T39*W39</x:f>
        <x:v>0</x:v>
      </x:c>
      <x:c r="AA39" s="171" t="str">
        <x:v>Letno</x:v>
      </x:c>
      <x:c r="AB39" s="171" t="str">
        <x:v>D</x:v>
      </x:c>
      <x:c r="AC39" s="171" t="n">
        <x:v>0.25</x:v>
      </x:c>
      <x:c r="AD39" s="171" t="str"/>
    </x:row>
    <x:row r="40">
      <x:c r="A40" s="171" t="str"/>
      <x:c r="B40" s="171" t="str"/>
      <x:c r="C40" s="171" t="str"/>
      <x:c r="D40" s="171" t="str"/>
      <x:c r="E40" s="171" t="str"/>
      <x:c r="F40" s="172" t="n">
        <x:v>0</x:v>
      </x:c>
      <x:c r="G40" s="172" t="n">
        <x:v>0</x:v>
      </x:c>
      <x:c r="H40" s="172" t="n">
        <x:v>0</x:v>
      </x:c>
      <x:c r="I40" s="172" t="n">
        <x:v>0</x:v>
      </x:c>
      <x:c r="J40" s="172" t="n">
        <x:v>0</x:v>
      </x:c>
      <x:c r="K40" s="172" t="n">
        <x:v>0</x:v>
      </x:c>
      <x:c r="L40" s="173" t="n">
        <x:f>F40*I40</x:f>
        <x:v>0</x:v>
      </x:c>
      <x:c r="M40" s="173" t="n">
        <x:f>G40*J40</x:f>
        <x:v>0</x:v>
      </x:c>
      <x:c r="N40" s="173" t="n">
        <x:f>H40*K40</x:f>
        <x:v>0</x:v>
      </x:c>
      <x:c r="O40" s="157" t="n">
        <x:v>0</x:v>
      </x:c>
      <x:c r="P40" s="157" t="n">
        <x:v>0</x:v>
      </x:c>
      <x:c r="Q40" s="157" t="n">
        <x:v>0</x:v>
      </x:c>
      <x:c r="R40" s="157" t="n">
        <x:v>0</x:v>
      </x:c>
      <x:c r="S40" s="157" t="n">
        <x:v>0</x:v>
      </x:c>
      <x:c r="T40" s="157" t="n">
        <x:v>0</x:v>
      </x:c>
      <x:c r="U40" s="157" t="n">
        <x:v>0</x:v>
      </x:c>
      <x:c r="V40" s="157" t="n">
        <x:v>0</x:v>
      </x:c>
      <x:c r="W40" s="157" t="n">
        <x:v>0</x:v>
      </x:c>
      <x:c r="X40" s="174" t="n">
        <x:f>L40*O40*R40*U40</x:f>
        <x:v>0</x:v>
      </x:c>
      <x:c r="Y40" s="174" t="n">
        <x:f>M40*P40*S40*V40</x:f>
        <x:v>0</x:v>
      </x:c>
      <x:c r="Z40" s="174" t="n">
        <x:f>N40*Q40*T40*W40</x:f>
        <x:v>0</x:v>
      </x:c>
      <x:c r="AA40" s="171" t="str">
        <x:v>Letno</x:v>
      </x:c>
      <x:c r="AB40" s="171" t="str">
        <x:v>D</x:v>
      </x:c>
      <x:c r="AC40" s="171" t="n">
        <x:v>0.25</x:v>
      </x:c>
      <x:c r="AD40" s="171" t="str"/>
    </x:row>
    <x:row r="41">
      <x:c r="A41" s="171" t="str"/>
      <x:c r="B41" s="171" t="str"/>
      <x:c r="C41" s="171" t="str"/>
      <x:c r="D41" s="171" t="str"/>
      <x:c r="E41" s="171" t="str"/>
      <x:c r="F41" s="172" t="n">
        <x:v>0</x:v>
      </x:c>
      <x:c r="G41" s="172" t="n">
        <x:v>0</x:v>
      </x:c>
      <x:c r="H41" s="172" t="n">
        <x:v>0</x:v>
      </x:c>
      <x:c r="I41" s="172" t="n">
        <x:v>0</x:v>
      </x:c>
      <x:c r="J41" s="172" t="n">
        <x:v>0</x:v>
      </x:c>
      <x:c r="K41" s="172" t="n">
        <x:v>0</x:v>
      </x:c>
      <x:c r="L41" s="173" t="n">
        <x:f>F41*I41</x:f>
        <x:v>0</x:v>
      </x:c>
      <x:c r="M41" s="173" t="n">
        <x:f>G41*J41</x:f>
        <x:v>0</x:v>
      </x:c>
      <x:c r="N41" s="173" t="n">
        <x:f>H41*K41</x:f>
        <x:v>0</x:v>
      </x:c>
      <x:c r="O41" s="157" t="n">
        <x:v>0</x:v>
      </x:c>
      <x:c r="P41" s="157" t="n">
        <x:v>0</x:v>
      </x:c>
      <x:c r="Q41" s="157" t="n">
        <x:v>0</x:v>
      </x:c>
      <x:c r="R41" s="157" t="n">
        <x:v>0</x:v>
      </x:c>
      <x:c r="S41" s="157" t="n">
        <x:v>0</x:v>
      </x:c>
      <x:c r="T41" s="157" t="n">
        <x:v>0</x:v>
      </x:c>
      <x:c r="U41" s="157" t="n">
        <x:v>0</x:v>
      </x:c>
      <x:c r="V41" s="157" t="n">
        <x:v>0</x:v>
      </x:c>
      <x:c r="W41" s="157" t="n">
        <x:v>0</x:v>
      </x:c>
      <x:c r="X41" s="174" t="n">
        <x:f>L41*O41*R41*U41</x:f>
        <x:v>0</x:v>
      </x:c>
      <x:c r="Y41" s="174" t="n">
        <x:f>M41*P41*S41*V41</x:f>
        <x:v>0</x:v>
      </x:c>
      <x:c r="Z41" s="174" t="n">
        <x:f>N41*Q41*T41*W41</x:f>
        <x:v>0</x:v>
      </x:c>
      <x:c r="AA41" s="171" t="str">
        <x:v>Letno</x:v>
      </x:c>
      <x:c r="AB41" s="171" t="str">
        <x:v>D</x:v>
      </x:c>
      <x:c r="AC41" s="171" t="n">
        <x:v>0.25</x:v>
      </x:c>
      <x:c r="AD41" s="171" t="str"/>
    </x:row>
    <x:row r="42">
      <x:c r="A42" s="171" t="str"/>
      <x:c r="B42" s="171" t="str"/>
      <x:c r="C42" s="171" t="str"/>
      <x:c r="D42" s="171" t="str"/>
      <x:c r="E42" s="171" t="str"/>
      <x:c r="F42" s="172" t="n">
        <x:v>0</x:v>
      </x:c>
      <x:c r="G42" s="172" t="n">
        <x:v>0</x:v>
      </x:c>
      <x:c r="H42" s="172" t="n">
        <x:v>0</x:v>
      </x:c>
      <x:c r="I42" s="172" t="n">
        <x:v>0</x:v>
      </x:c>
      <x:c r="J42" s="172" t="n">
        <x:v>0</x:v>
      </x:c>
      <x:c r="K42" s="172" t="n">
        <x:v>0</x:v>
      </x:c>
      <x:c r="L42" s="173" t="n">
        <x:f>F42*I42</x:f>
        <x:v>0</x:v>
      </x:c>
      <x:c r="M42" s="173" t="n">
        <x:f>G42*J42</x:f>
        <x:v>0</x:v>
      </x:c>
      <x:c r="N42" s="173" t="n">
        <x:f>H42*K42</x:f>
        <x:v>0</x:v>
      </x:c>
      <x:c r="O42" s="157" t="n">
        <x:v>0</x:v>
      </x:c>
      <x:c r="P42" s="157" t="n">
        <x:v>0</x:v>
      </x:c>
      <x:c r="Q42" s="157" t="n">
        <x:v>0</x:v>
      </x:c>
      <x:c r="R42" s="157" t="n">
        <x:v>0</x:v>
      </x:c>
      <x:c r="S42" s="157" t="n">
        <x:v>0</x:v>
      </x:c>
      <x:c r="T42" s="157" t="n">
        <x:v>0</x:v>
      </x:c>
      <x:c r="U42" s="157" t="n">
        <x:v>0</x:v>
      </x:c>
      <x:c r="V42" s="157" t="n">
        <x:v>0</x:v>
      </x:c>
      <x:c r="W42" s="157" t="n">
        <x:v>0</x:v>
      </x:c>
      <x:c r="X42" s="174" t="n">
        <x:f>L42*O42*R42*U42</x:f>
        <x:v>0</x:v>
      </x:c>
      <x:c r="Y42" s="174" t="n">
        <x:f>M42*P42*S42*V42</x:f>
        <x:v>0</x:v>
      </x:c>
      <x:c r="Z42" s="174" t="n">
        <x:f>N42*Q42*T42*W42</x:f>
        <x:v>0</x:v>
      </x:c>
      <x:c r="AA42" s="171" t="str">
        <x:v>Letno</x:v>
      </x:c>
      <x:c r="AB42" s="171" t="str">
        <x:v>D</x:v>
      </x:c>
      <x:c r="AC42" s="171" t="n">
        <x:v>0.25</x:v>
      </x:c>
      <x:c r="AD42" s="171" t="str"/>
    </x:row>
    <x:row r="43">
      <x:c r="A43" s="171" t="str"/>
      <x:c r="B43" s="171" t="str"/>
      <x:c r="C43" s="171" t="str"/>
      <x:c r="D43" s="171" t="str"/>
      <x:c r="E43" s="171" t="str"/>
      <x:c r="F43" s="172" t="n">
        <x:v>0</x:v>
      </x:c>
      <x:c r="G43" s="172" t="n">
        <x:v>0</x:v>
      </x:c>
      <x:c r="H43" s="172" t="n">
        <x:v>0</x:v>
      </x:c>
      <x:c r="I43" s="172" t="n">
        <x:v>0</x:v>
      </x:c>
      <x:c r="J43" s="172" t="n">
        <x:v>0</x:v>
      </x:c>
      <x:c r="K43" s="172" t="n">
        <x:v>0</x:v>
      </x:c>
      <x:c r="L43" s="173" t="n">
        <x:f>F43*I43</x:f>
        <x:v>0</x:v>
      </x:c>
      <x:c r="M43" s="173" t="n">
        <x:f>G43*J43</x:f>
        <x:v>0</x:v>
      </x:c>
      <x:c r="N43" s="173" t="n">
        <x:f>H43*K43</x:f>
        <x:v>0</x:v>
      </x:c>
      <x:c r="O43" s="157" t="n">
        <x:v>0</x:v>
      </x:c>
      <x:c r="P43" s="157" t="n">
        <x:v>0</x:v>
      </x:c>
      <x:c r="Q43" s="157" t="n">
        <x:v>0</x:v>
      </x:c>
      <x:c r="R43" s="157" t="n">
        <x:v>0</x:v>
      </x:c>
      <x:c r="S43" s="157" t="n">
        <x:v>0</x:v>
      </x:c>
      <x:c r="T43" s="157" t="n">
        <x:v>0</x:v>
      </x:c>
      <x:c r="U43" s="157" t="n">
        <x:v>0</x:v>
      </x:c>
      <x:c r="V43" s="157" t="n">
        <x:v>0</x:v>
      </x:c>
      <x:c r="W43" s="157" t="n">
        <x:v>0</x:v>
      </x:c>
      <x:c r="X43" s="174" t="n">
        <x:f>L43*O43*R43*U43</x:f>
        <x:v>0</x:v>
      </x:c>
      <x:c r="Y43" s="174" t="n">
        <x:f>M43*P43*S43*V43</x:f>
        <x:v>0</x:v>
      </x:c>
      <x:c r="Z43" s="174" t="n">
        <x:f>N43*Q43*T43*W43</x:f>
        <x:v>0</x:v>
      </x:c>
      <x:c r="AA43" s="171" t="str">
        <x:v>Letno</x:v>
      </x:c>
      <x:c r="AB43" s="171" t="str">
        <x:v>D</x:v>
      </x:c>
      <x:c r="AC43" s="171" t="n">
        <x:v>0.25</x:v>
      </x:c>
      <x:c r="AD43" s="171" t="str"/>
    </x:row>
    <x:row r="44">
      <x:c r="A44" s="171" t="str"/>
      <x:c r="B44" s="171" t="str"/>
      <x:c r="C44" s="171" t="str"/>
      <x:c r="D44" s="171" t="str"/>
      <x:c r="E44" s="171" t="str"/>
      <x:c r="F44" s="172" t="n">
        <x:v>0</x:v>
      </x:c>
      <x:c r="G44" s="172" t="n">
        <x:v>0</x:v>
      </x:c>
      <x:c r="H44" s="172" t="n">
        <x:v>0</x:v>
      </x:c>
      <x:c r="I44" s="172" t="n">
        <x:v>0</x:v>
      </x:c>
      <x:c r="J44" s="172" t="n">
        <x:v>0</x:v>
      </x:c>
      <x:c r="K44" s="172" t="n">
        <x:v>0</x:v>
      </x:c>
      <x:c r="L44" s="173" t="n">
        <x:f>F44*I44</x:f>
        <x:v>0</x:v>
      </x:c>
      <x:c r="M44" s="173" t="n">
        <x:f>G44*J44</x:f>
        <x:v>0</x:v>
      </x:c>
      <x:c r="N44" s="173" t="n">
        <x:f>H44*K44</x:f>
        <x:v>0</x:v>
      </x:c>
      <x:c r="O44" s="157" t="n">
        <x:v>0</x:v>
      </x:c>
      <x:c r="P44" s="157" t="n">
        <x:v>0</x:v>
      </x:c>
      <x:c r="Q44" s="157" t="n">
        <x:v>0</x:v>
      </x:c>
      <x:c r="R44" s="157" t="n">
        <x:v>0</x:v>
      </x:c>
      <x:c r="S44" s="157" t="n">
        <x:v>0</x:v>
      </x:c>
      <x:c r="T44" s="157" t="n">
        <x:v>0</x:v>
      </x:c>
      <x:c r="U44" s="157" t="n">
        <x:v>0</x:v>
      </x:c>
      <x:c r="V44" s="157" t="n">
        <x:v>0</x:v>
      </x:c>
      <x:c r="W44" s="157" t="n">
        <x:v>0</x:v>
      </x:c>
      <x:c r="X44" s="174" t="n">
        <x:f>L44*O44*R44*U44</x:f>
        <x:v>0</x:v>
      </x:c>
      <x:c r="Y44" s="174" t="n">
        <x:f>M44*P44*S44*V44</x:f>
        <x:v>0</x:v>
      </x:c>
      <x:c r="Z44" s="174" t="n">
        <x:f>N44*Q44*T44*W44</x:f>
        <x:v>0</x:v>
      </x:c>
      <x:c r="AA44" s="171" t="str">
        <x:v>Letno</x:v>
      </x:c>
      <x:c r="AB44" s="171" t="str">
        <x:v>D</x:v>
      </x:c>
      <x:c r="AC44" s="171" t="n">
        <x:v>0.25</x:v>
      </x:c>
      <x:c r="AD44" s="171" t="str"/>
    </x:row>
    <x:row r="45">
      <x:c r="A45" s="171" t="str"/>
      <x:c r="B45" s="171" t="str"/>
      <x:c r="C45" s="171" t="str"/>
      <x:c r="D45" s="171" t="str"/>
      <x:c r="E45" s="171" t="str"/>
      <x:c r="F45" s="172" t="n">
        <x:v>0</x:v>
      </x:c>
      <x:c r="G45" s="172" t="n">
        <x:v>0</x:v>
      </x:c>
      <x:c r="H45" s="172" t="n">
        <x:v>0</x:v>
      </x:c>
      <x:c r="I45" s="172" t="n">
        <x:v>0</x:v>
      </x:c>
      <x:c r="J45" s="172" t="n">
        <x:v>0</x:v>
      </x:c>
      <x:c r="K45" s="172" t="n">
        <x:v>0</x:v>
      </x:c>
      <x:c r="L45" s="173" t="n">
        <x:f>F45*I45</x:f>
        <x:v>0</x:v>
      </x:c>
      <x:c r="M45" s="173" t="n">
        <x:f>G45*J45</x:f>
        <x:v>0</x:v>
      </x:c>
      <x:c r="N45" s="173" t="n">
        <x:f>H45*K45</x:f>
        <x:v>0</x:v>
      </x:c>
      <x:c r="O45" s="157" t="n">
        <x:v>0</x:v>
      </x:c>
      <x:c r="P45" s="157" t="n">
        <x:v>0</x:v>
      </x:c>
      <x:c r="Q45" s="157" t="n">
        <x:v>0</x:v>
      </x:c>
      <x:c r="R45" s="157" t="n">
        <x:v>0</x:v>
      </x:c>
      <x:c r="S45" s="157" t="n">
        <x:v>0</x:v>
      </x:c>
      <x:c r="T45" s="157" t="n">
        <x:v>0</x:v>
      </x:c>
      <x:c r="U45" s="157" t="n">
        <x:v>0</x:v>
      </x:c>
      <x:c r="V45" s="157" t="n">
        <x:v>0</x:v>
      </x:c>
      <x:c r="W45" s="157" t="n">
        <x:v>0</x:v>
      </x:c>
      <x:c r="X45" s="174" t="n">
        <x:f>L45*O45*R45*U45</x:f>
        <x:v>0</x:v>
      </x:c>
      <x:c r="Y45" s="174" t="n">
        <x:f>M45*P45*S45*V45</x:f>
        <x:v>0</x:v>
      </x:c>
      <x:c r="Z45" s="174" t="n">
        <x:f>N45*Q45*T45*W45</x:f>
        <x:v>0</x:v>
      </x:c>
      <x:c r="AA45" s="171" t="str">
        <x:v>Letno</x:v>
      </x:c>
      <x:c r="AB45" s="171" t="str">
        <x:v>D</x:v>
      </x:c>
      <x:c r="AC45" s="171" t="n">
        <x:v>0.25</x:v>
      </x:c>
      <x:c r="AD45" s="171" t="str"/>
    </x:row>
    <x:row r="46">
      <x:c r="A46" s="171" t="str"/>
      <x:c r="B46" s="171" t="str"/>
      <x:c r="C46" s="171" t="str"/>
      <x:c r="D46" s="171" t="str"/>
      <x:c r="E46" s="171" t="str"/>
      <x:c r="F46" s="172" t="n">
        <x:v>0</x:v>
      </x:c>
      <x:c r="G46" s="172" t="n">
        <x:v>0</x:v>
      </x:c>
      <x:c r="H46" s="172" t="n">
        <x:v>0</x:v>
      </x:c>
      <x:c r="I46" s="172" t="n">
        <x:v>0</x:v>
      </x:c>
      <x:c r="J46" s="172" t="n">
        <x:v>0</x:v>
      </x:c>
      <x:c r="K46" s="172" t="n">
        <x:v>0</x:v>
      </x:c>
      <x:c r="L46" s="173" t="n">
        <x:f>F46*I46</x:f>
        <x:v>0</x:v>
      </x:c>
      <x:c r="M46" s="173" t="n">
        <x:f>G46*J46</x:f>
        <x:v>0</x:v>
      </x:c>
      <x:c r="N46" s="173" t="n">
        <x:f>H46*K46</x:f>
        <x:v>0</x:v>
      </x:c>
      <x:c r="O46" s="157" t="n">
        <x:v>0</x:v>
      </x:c>
      <x:c r="P46" s="157" t="n">
        <x:v>0</x:v>
      </x:c>
      <x:c r="Q46" s="157" t="n">
        <x:v>0</x:v>
      </x:c>
      <x:c r="R46" s="157" t="n">
        <x:v>0</x:v>
      </x:c>
      <x:c r="S46" s="157" t="n">
        <x:v>0</x:v>
      </x:c>
      <x:c r="T46" s="157" t="n">
        <x:v>0</x:v>
      </x:c>
      <x:c r="U46" s="157" t="n">
        <x:v>0</x:v>
      </x:c>
      <x:c r="V46" s="157" t="n">
        <x:v>0</x:v>
      </x:c>
      <x:c r="W46" s="157" t="n">
        <x:v>0</x:v>
      </x:c>
      <x:c r="X46" s="174" t="n">
        <x:f>L46*O46*R46*U46</x:f>
        <x:v>0</x:v>
      </x:c>
      <x:c r="Y46" s="174" t="n">
        <x:f>M46*P46*S46*V46</x:f>
        <x:v>0</x:v>
      </x:c>
      <x:c r="Z46" s="174" t="n">
        <x:f>N46*Q46*T46*W46</x:f>
        <x:v>0</x:v>
      </x:c>
      <x:c r="AA46" s="171" t="str">
        <x:v>Letno</x:v>
      </x:c>
      <x:c r="AB46" s="171" t="str">
        <x:v>D</x:v>
      </x:c>
      <x:c r="AC46" s="171" t="n">
        <x:v>0.25</x:v>
      </x:c>
      <x:c r="AD46" s="171" t="str"/>
    </x:row>
    <x:row r="47">
      <x:c r="A47" s="171" t="str"/>
      <x:c r="B47" s="171" t="str"/>
      <x:c r="C47" s="171" t="str"/>
      <x:c r="D47" s="171" t="str"/>
      <x:c r="E47" s="171" t="str"/>
      <x:c r="F47" s="172" t="n">
        <x:v>0</x:v>
      </x:c>
      <x:c r="G47" s="172" t="n">
        <x:v>0</x:v>
      </x:c>
      <x:c r="H47" s="172" t="n">
        <x:v>0</x:v>
      </x:c>
      <x:c r="I47" s="172" t="n">
        <x:v>0</x:v>
      </x:c>
      <x:c r="J47" s="172" t="n">
        <x:v>0</x:v>
      </x:c>
      <x:c r="K47" s="172" t="n">
        <x:v>0</x:v>
      </x:c>
      <x:c r="L47" s="173" t="n">
        <x:f>F47*I47</x:f>
        <x:v>0</x:v>
      </x:c>
      <x:c r="M47" s="173" t="n">
        <x:f>G47*J47</x:f>
        <x:v>0</x:v>
      </x:c>
      <x:c r="N47" s="173" t="n">
        <x:f>H47*K47</x:f>
        <x:v>0</x:v>
      </x:c>
      <x:c r="O47" s="157" t="n">
        <x:v>0</x:v>
      </x:c>
      <x:c r="P47" s="157" t="n">
        <x:v>0</x:v>
      </x:c>
      <x:c r="Q47" s="157" t="n">
        <x:v>0</x:v>
      </x:c>
      <x:c r="R47" s="157" t="n">
        <x:v>0</x:v>
      </x:c>
      <x:c r="S47" s="157" t="n">
        <x:v>0</x:v>
      </x:c>
      <x:c r="T47" s="157" t="n">
        <x:v>0</x:v>
      </x:c>
      <x:c r="U47" s="157" t="n">
        <x:v>0</x:v>
      </x:c>
      <x:c r="V47" s="157" t="n">
        <x:v>0</x:v>
      </x:c>
      <x:c r="W47" s="157" t="n">
        <x:v>0</x:v>
      </x:c>
      <x:c r="X47" s="174" t="n">
        <x:f>L47*O47*R47*U47</x:f>
        <x:v>0</x:v>
      </x:c>
      <x:c r="Y47" s="174" t="n">
        <x:f>M47*P47*S47*V47</x:f>
        <x:v>0</x:v>
      </x:c>
      <x:c r="Z47" s="174" t="n">
        <x:f>N47*Q47*T47*W47</x:f>
        <x:v>0</x:v>
      </x:c>
      <x:c r="AA47" s="171" t="str">
        <x:v>Letno</x:v>
      </x:c>
      <x:c r="AB47" s="171" t="str">
        <x:v>D</x:v>
      </x:c>
      <x:c r="AC47" s="171" t="n">
        <x:v>0.25</x:v>
      </x:c>
      <x:c r="AD47" s="171" t="str"/>
    </x:row>
    <x:row r="48">
      <x:c r="A48" s="171" t="str"/>
      <x:c r="B48" s="171" t="str"/>
      <x:c r="C48" s="171" t="str"/>
      <x:c r="D48" s="171" t="str"/>
      <x:c r="E48" s="171" t="str"/>
      <x:c r="F48" s="172" t="n">
        <x:v>0</x:v>
      </x:c>
      <x:c r="G48" s="172" t="n">
        <x:v>0</x:v>
      </x:c>
      <x:c r="H48" s="172" t="n">
        <x:v>0</x:v>
      </x:c>
      <x:c r="I48" s="172" t="n">
        <x:v>0</x:v>
      </x:c>
      <x:c r="J48" s="172" t="n">
        <x:v>0</x:v>
      </x:c>
      <x:c r="K48" s="172" t="n">
        <x:v>0</x:v>
      </x:c>
      <x:c r="L48" s="173" t="n">
        <x:f>F48*I48</x:f>
        <x:v>0</x:v>
      </x:c>
      <x:c r="M48" s="173" t="n">
        <x:f>G48*J48</x:f>
        <x:v>0</x:v>
      </x:c>
      <x:c r="N48" s="173" t="n">
        <x:f>H48*K48</x:f>
        <x:v>0</x:v>
      </x:c>
      <x:c r="O48" s="157" t="n">
        <x:v>0</x:v>
      </x:c>
      <x:c r="P48" s="157" t="n">
        <x:v>0</x:v>
      </x:c>
      <x:c r="Q48" s="157" t="n">
        <x:v>0</x:v>
      </x:c>
      <x:c r="R48" s="157" t="n">
        <x:v>0</x:v>
      </x:c>
      <x:c r="S48" s="157" t="n">
        <x:v>0</x:v>
      </x:c>
      <x:c r="T48" s="157" t="n">
        <x:v>0</x:v>
      </x:c>
      <x:c r="U48" s="157" t="n">
        <x:v>0</x:v>
      </x:c>
      <x:c r="V48" s="157" t="n">
        <x:v>0</x:v>
      </x:c>
      <x:c r="W48" s="157" t="n">
        <x:v>0</x:v>
      </x:c>
      <x:c r="X48" s="174" t="n">
        <x:f>L48*O48*R48*U48</x:f>
        <x:v>0</x:v>
      </x:c>
      <x:c r="Y48" s="174" t="n">
        <x:f>M48*P48*S48*V48</x:f>
        <x:v>0</x:v>
      </x:c>
      <x:c r="Z48" s="174" t="n">
        <x:f>N48*Q48*T48*W48</x:f>
        <x:v>0</x:v>
      </x:c>
      <x:c r="AA48" s="171" t="str">
        <x:v>Letno</x:v>
      </x:c>
      <x:c r="AB48" s="171" t="str">
        <x:v>D</x:v>
      </x:c>
      <x:c r="AC48" s="171" t="n">
        <x:v>0.25</x:v>
      </x:c>
      <x:c r="AD48" s="171" t="str"/>
    </x:row>
    <x:row r="49">
      <x:c r="A49" s="171" t="str"/>
      <x:c r="B49" s="171" t="str"/>
      <x:c r="C49" s="171" t="str"/>
      <x:c r="D49" s="171" t="str"/>
      <x:c r="E49" s="171" t="str"/>
      <x:c r="F49" s="172" t="n">
        <x:v>0</x:v>
      </x:c>
      <x:c r="G49" s="172" t="n">
        <x:v>0</x:v>
      </x:c>
      <x:c r="H49" s="172" t="n">
        <x:v>0</x:v>
      </x:c>
      <x:c r="I49" s="172" t="n">
        <x:v>0</x:v>
      </x:c>
      <x:c r="J49" s="172" t="n">
        <x:v>0</x:v>
      </x:c>
      <x:c r="K49" s="172" t="n">
        <x:v>0</x:v>
      </x:c>
      <x:c r="L49" s="173" t="n">
        <x:f>F49*I49</x:f>
        <x:v>0</x:v>
      </x:c>
      <x:c r="M49" s="173" t="n">
        <x:f>G49*J49</x:f>
        <x:v>0</x:v>
      </x:c>
      <x:c r="N49" s="173" t="n">
        <x:f>H49*K49</x:f>
        <x:v>0</x:v>
      </x:c>
      <x:c r="O49" s="157" t="n">
        <x:v>0</x:v>
      </x:c>
      <x:c r="P49" s="157" t="n">
        <x:v>0</x:v>
      </x:c>
      <x:c r="Q49" s="157" t="n">
        <x:v>0</x:v>
      </x:c>
      <x:c r="R49" s="157" t="n">
        <x:v>0</x:v>
      </x:c>
      <x:c r="S49" s="157" t="n">
        <x:v>0</x:v>
      </x:c>
      <x:c r="T49" s="157" t="n">
        <x:v>0</x:v>
      </x:c>
      <x:c r="U49" s="157" t="n">
        <x:v>0</x:v>
      </x:c>
      <x:c r="V49" s="157" t="n">
        <x:v>0</x:v>
      </x:c>
      <x:c r="W49" s="157" t="n">
        <x:v>0</x:v>
      </x:c>
      <x:c r="X49" s="174" t="n">
        <x:f>L49*O49*R49*U49</x:f>
        <x:v>0</x:v>
      </x:c>
      <x:c r="Y49" s="174" t="n">
        <x:f>M49*P49*S49*V49</x:f>
        <x:v>0</x:v>
      </x:c>
      <x:c r="Z49" s="174" t="n">
        <x:f>N49*Q49*T49*W49</x:f>
        <x:v>0</x:v>
      </x:c>
      <x:c r="AA49" s="171" t="str">
        <x:v>Letno</x:v>
      </x:c>
      <x:c r="AB49" s="171" t="str">
        <x:v>D</x:v>
      </x:c>
      <x:c r="AC49" s="171" t="n">
        <x:v>0.25</x:v>
      </x:c>
      <x:c r="AD49" s="171" t="str"/>
    </x:row>
    <x:row r="50">
      <x:c r="A50" s="171" t="str"/>
      <x:c r="B50" s="171" t="str"/>
      <x:c r="C50" s="171" t="str"/>
      <x:c r="D50" s="171" t="str"/>
      <x:c r="E50" s="171" t="str"/>
      <x:c r="F50" s="172" t="n">
        <x:v>0</x:v>
      </x:c>
      <x:c r="G50" s="172" t="n">
        <x:v>0</x:v>
      </x:c>
      <x:c r="H50" s="172" t="n">
        <x:v>0</x:v>
      </x:c>
      <x:c r="I50" s="172" t="n">
        <x:v>0</x:v>
      </x:c>
      <x:c r="J50" s="172" t="n">
        <x:v>0</x:v>
      </x:c>
      <x:c r="K50" s="172" t="n">
        <x:v>0</x:v>
      </x:c>
      <x:c r="L50" s="173" t="n">
        <x:f>F50*I50</x:f>
        <x:v>0</x:v>
      </x:c>
      <x:c r="M50" s="173" t="n">
        <x:f>G50*J50</x:f>
        <x:v>0</x:v>
      </x:c>
      <x:c r="N50" s="173" t="n">
        <x:f>H50*K50</x:f>
        <x:v>0</x:v>
      </x:c>
      <x:c r="O50" s="157" t="n">
        <x:v>0</x:v>
      </x:c>
      <x:c r="P50" s="157" t="n">
        <x:v>0</x:v>
      </x:c>
      <x:c r="Q50" s="157" t="n">
        <x:v>0</x:v>
      </x:c>
      <x:c r="R50" s="157" t="n">
        <x:v>0</x:v>
      </x:c>
      <x:c r="S50" s="157" t="n">
        <x:v>0</x:v>
      </x:c>
      <x:c r="T50" s="157" t="n">
        <x:v>0</x:v>
      </x:c>
      <x:c r="U50" s="157" t="n">
        <x:v>0</x:v>
      </x:c>
      <x:c r="V50" s="157" t="n">
        <x:v>0</x:v>
      </x:c>
      <x:c r="W50" s="157" t="n">
        <x:v>0</x:v>
      </x:c>
      <x:c r="X50" s="174" t="n">
        <x:f>L50*O50*R50*U50</x:f>
        <x:v>0</x:v>
      </x:c>
      <x:c r="Y50" s="174" t="n">
        <x:f>M50*P50*S50*V50</x:f>
        <x:v>0</x:v>
      </x:c>
      <x:c r="Z50" s="174" t="n">
        <x:f>N50*Q50*T50*W50</x:f>
        <x:v>0</x:v>
      </x:c>
      <x:c r="AA50" s="171" t="str">
        <x:v>Letno</x:v>
      </x:c>
      <x:c r="AB50" s="171" t="str">
        <x:v>D</x:v>
      </x:c>
      <x:c r="AC50" s="171" t="n">
        <x:v>0.25</x:v>
      </x:c>
      <x:c r="AD50" s="171" t="str"/>
    </x:row>
    <x:row r="51">
      <x:c r="A51" s="171" t="str"/>
      <x:c r="B51" s="171" t="str"/>
      <x:c r="C51" s="171" t="str"/>
      <x:c r="D51" s="171" t="str"/>
      <x:c r="E51" s="171" t="str"/>
      <x:c r="F51" s="172" t="n">
        <x:v>0</x:v>
      </x:c>
      <x:c r="G51" s="172" t="n">
        <x:v>0</x:v>
      </x:c>
      <x:c r="H51" s="172" t="n">
        <x:v>0</x:v>
      </x:c>
      <x:c r="I51" s="172" t="n">
        <x:v>0</x:v>
      </x:c>
      <x:c r="J51" s="172" t="n">
        <x:v>0</x:v>
      </x:c>
      <x:c r="K51" s="172" t="n">
        <x:v>0</x:v>
      </x:c>
      <x:c r="L51" s="173" t="n">
        <x:f>F51*I51</x:f>
        <x:v>0</x:v>
      </x:c>
      <x:c r="M51" s="173" t="n">
        <x:f>G51*J51</x:f>
        <x:v>0</x:v>
      </x:c>
      <x:c r="N51" s="173" t="n">
        <x:f>H51*K51</x:f>
        <x:v>0</x:v>
      </x:c>
      <x:c r="O51" s="157" t="n">
        <x:v>0</x:v>
      </x:c>
      <x:c r="P51" s="157" t="n">
        <x:v>0</x:v>
      </x:c>
      <x:c r="Q51" s="157" t="n">
        <x:v>0</x:v>
      </x:c>
      <x:c r="R51" s="157" t="n">
        <x:v>0</x:v>
      </x:c>
      <x:c r="S51" s="157" t="n">
        <x:v>0</x:v>
      </x:c>
      <x:c r="T51" s="157" t="n">
        <x:v>0</x:v>
      </x:c>
      <x:c r="U51" s="157" t="n">
        <x:v>0</x:v>
      </x:c>
      <x:c r="V51" s="157" t="n">
        <x:v>0</x:v>
      </x:c>
      <x:c r="W51" s="157" t="n">
        <x:v>0</x:v>
      </x:c>
      <x:c r="X51" s="174" t="n">
        <x:f>L51*O51*R51*U51</x:f>
        <x:v>0</x:v>
      </x:c>
      <x:c r="Y51" s="174" t="n">
        <x:f>M51*P51*S51*V51</x:f>
        <x:v>0</x:v>
      </x:c>
      <x:c r="Z51" s="174" t="n">
        <x:f>N51*Q51*T51*W51</x:f>
        <x:v>0</x:v>
      </x:c>
      <x:c r="AA51" s="171" t="str">
        <x:v>Letno</x:v>
      </x:c>
      <x:c r="AB51" s="171" t="str">
        <x:v>D</x:v>
      </x:c>
      <x:c r="AC51" s="171" t="n">
        <x:v>0.25</x:v>
      </x:c>
      <x:c r="AD51" s="171" t="str"/>
    </x:row>
    <x:row r="52">
      <x:c r="A52" s="171" t="str"/>
      <x:c r="B52" s="171" t="str"/>
      <x:c r="C52" s="171" t="str"/>
      <x:c r="D52" s="171" t="str"/>
      <x:c r="E52" s="171" t="str"/>
      <x:c r="F52" s="172" t="n">
        <x:v>0</x:v>
      </x:c>
      <x:c r="G52" s="172" t="n">
        <x:v>0</x:v>
      </x:c>
      <x:c r="H52" s="172" t="n">
        <x:v>0</x:v>
      </x:c>
      <x:c r="I52" s="172" t="n">
        <x:v>0</x:v>
      </x:c>
      <x:c r="J52" s="172" t="n">
        <x:v>0</x:v>
      </x:c>
      <x:c r="K52" s="172" t="n">
        <x:v>0</x:v>
      </x:c>
      <x:c r="L52" s="173" t="n">
        <x:f>F52*I52</x:f>
        <x:v>0</x:v>
      </x:c>
      <x:c r="M52" s="173" t="n">
        <x:f>G52*J52</x:f>
        <x:v>0</x:v>
      </x:c>
      <x:c r="N52" s="173" t="n">
        <x:f>H52*K52</x:f>
        <x:v>0</x:v>
      </x:c>
      <x:c r="O52" s="157" t="n">
        <x:v>0</x:v>
      </x:c>
      <x:c r="P52" s="157" t="n">
        <x:v>0</x:v>
      </x:c>
      <x:c r="Q52" s="157" t="n">
        <x:v>0</x:v>
      </x:c>
      <x:c r="R52" s="157" t="n">
        <x:v>0</x:v>
      </x:c>
      <x:c r="S52" s="157" t="n">
        <x:v>0</x:v>
      </x:c>
      <x:c r="T52" s="157" t="n">
        <x:v>0</x:v>
      </x:c>
      <x:c r="U52" s="157" t="n">
        <x:v>0</x:v>
      </x:c>
      <x:c r="V52" s="157" t="n">
        <x:v>0</x:v>
      </x:c>
      <x:c r="W52" s="157" t="n">
        <x:v>0</x:v>
      </x:c>
      <x:c r="X52" s="174" t="n">
        <x:f>L52*O52*R52*U52</x:f>
        <x:v>0</x:v>
      </x:c>
      <x:c r="Y52" s="174" t="n">
        <x:f>M52*P52*S52*V52</x:f>
        <x:v>0</x:v>
      </x:c>
      <x:c r="Z52" s="174" t="n">
        <x:f>N52*Q52*T52*W52</x:f>
        <x:v>0</x:v>
      </x:c>
      <x:c r="AA52" s="171" t="str">
        <x:v>Letno</x:v>
      </x:c>
      <x:c r="AB52" s="171" t="str">
        <x:v>D</x:v>
      </x:c>
      <x:c r="AC52" s="171" t="n">
        <x:v>0.25</x:v>
      </x:c>
      <x:c r="AD52" s="171" t="str"/>
    </x:row>
    <x:row r="53">
      <x:c r="A53" s="171" t="str"/>
      <x:c r="B53" s="171" t="str"/>
      <x:c r="C53" s="171" t="str"/>
      <x:c r="D53" s="171" t="str"/>
      <x:c r="E53" s="171" t="str"/>
      <x:c r="F53" s="172" t="n">
        <x:v>0</x:v>
      </x:c>
      <x:c r="G53" s="172" t="n">
        <x:v>0</x:v>
      </x:c>
      <x:c r="H53" s="172" t="n">
        <x:v>0</x:v>
      </x:c>
      <x:c r="I53" s="172" t="n">
        <x:v>0</x:v>
      </x:c>
      <x:c r="J53" s="172" t="n">
        <x:v>0</x:v>
      </x:c>
      <x:c r="K53" s="172" t="n">
        <x:v>0</x:v>
      </x:c>
      <x:c r="L53" s="173" t="n">
        <x:f>F53*I53</x:f>
        <x:v>0</x:v>
      </x:c>
      <x:c r="M53" s="173" t="n">
        <x:f>G53*J53</x:f>
        <x:v>0</x:v>
      </x:c>
      <x:c r="N53" s="173" t="n">
        <x:f>H53*K53</x:f>
        <x:v>0</x:v>
      </x:c>
      <x:c r="O53" s="157" t="n">
        <x:v>0</x:v>
      </x:c>
      <x:c r="P53" s="157" t="n">
        <x:v>0</x:v>
      </x:c>
      <x:c r="Q53" s="157" t="n">
        <x:v>0</x:v>
      </x:c>
      <x:c r="R53" s="157" t="n">
        <x:v>0</x:v>
      </x:c>
      <x:c r="S53" s="157" t="n">
        <x:v>0</x:v>
      </x:c>
      <x:c r="T53" s="157" t="n">
        <x:v>0</x:v>
      </x:c>
      <x:c r="U53" s="157" t="n">
        <x:v>0</x:v>
      </x:c>
      <x:c r="V53" s="157" t="n">
        <x:v>0</x:v>
      </x:c>
      <x:c r="W53" s="157" t="n">
        <x:v>0</x:v>
      </x:c>
      <x:c r="X53" s="174" t="n">
        <x:f>L53*O53*R53*U53</x:f>
        <x:v>0</x:v>
      </x:c>
      <x:c r="Y53" s="174" t="n">
        <x:f>M53*P53*S53*V53</x:f>
        <x:v>0</x:v>
      </x:c>
      <x:c r="Z53" s="174" t="n">
        <x:f>N53*Q53*T53*W53</x:f>
        <x:v>0</x:v>
      </x:c>
      <x:c r="AA53" s="171" t="str">
        <x:v>Letno</x:v>
      </x:c>
      <x:c r="AB53" s="171" t="str">
        <x:v>D</x:v>
      </x:c>
      <x:c r="AC53" s="171" t="n">
        <x:v>0.25</x:v>
      </x:c>
      <x:c r="AD53" s="171" t="str"/>
    </x:row>
    <x:row r="54">
      <x:c r="A54" s="171" t="str"/>
      <x:c r="B54" s="171" t="str"/>
      <x:c r="C54" s="171" t="str"/>
      <x:c r="D54" s="171" t="str"/>
      <x:c r="E54" s="171" t="str"/>
      <x:c r="F54" s="172" t="n">
        <x:v>0</x:v>
      </x:c>
      <x:c r="G54" s="172" t="n">
        <x:v>0</x:v>
      </x:c>
      <x:c r="H54" s="172" t="n">
        <x:v>0</x:v>
      </x:c>
      <x:c r="I54" s="172" t="n">
        <x:v>0</x:v>
      </x:c>
      <x:c r="J54" s="172" t="n">
        <x:v>0</x:v>
      </x:c>
      <x:c r="K54" s="172" t="n">
        <x:v>0</x:v>
      </x:c>
      <x:c r="L54" s="173" t="n">
        <x:f>F54*I54</x:f>
        <x:v>0</x:v>
      </x:c>
      <x:c r="M54" s="173" t="n">
        <x:f>G54*J54</x:f>
        <x:v>0</x:v>
      </x:c>
      <x:c r="N54" s="173" t="n">
        <x:f>H54*K54</x:f>
        <x:v>0</x:v>
      </x:c>
      <x:c r="O54" s="157" t="n">
        <x:v>0</x:v>
      </x:c>
      <x:c r="P54" s="157" t="n">
        <x:v>0</x:v>
      </x:c>
      <x:c r="Q54" s="157" t="n">
        <x:v>0</x:v>
      </x:c>
      <x:c r="R54" s="157" t="n">
        <x:v>0</x:v>
      </x:c>
      <x:c r="S54" s="157" t="n">
        <x:v>0</x:v>
      </x:c>
      <x:c r="T54" s="157" t="n">
        <x:v>0</x:v>
      </x:c>
      <x:c r="U54" s="157" t="n">
        <x:v>0</x:v>
      </x:c>
      <x:c r="V54" s="157" t="n">
        <x:v>0</x:v>
      </x:c>
      <x:c r="W54" s="157" t="n">
        <x:v>0</x:v>
      </x:c>
      <x:c r="X54" s="174" t="n">
        <x:f>L54*O54*R54*U54</x:f>
        <x:v>0</x:v>
      </x:c>
      <x:c r="Y54" s="174" t="n">
        <x:f>M54*P54*S54*V54</x:f>
        <x:v>0</x:v>
      </x:c>
      <x:c r="Z54" s="174" t="n">
        <x:f>N54*Q54*T54*W54</x:f>
        <x:v>0</x:v>
      </x:c>
      <x:c r="AA54" s="171" t="str">
        <x:v>Letno</x:v>
      </x:c>
      <x:c r="AB54" s="171" t="str">
        <x:v>D</x:v>
      </x:c>
      <x:c r="AC54" s="171" t="n">
        <x:v>0.25</x:v>
      </x:c>
      <x:c r="AD54" s="171" t="str"/>
    </x:row>
    <x:row r="55">
      <x:c r="A55" s="171" t="str"/>
      <x:c r="B55" s="171" t="str"/>
      <x:c r="C55" s="171" t="str"/>
      <x:c r="D55" s="171" t="str"/>
      <x:c r="E55" s="171" t="str"/>
      <x:c r="F55" s="172" t="n">
        <x:v>0</x:v>
      </x:c>
      <x:c r="G55" s="172" t="n">
        <x:v>0</x:v>
      </x:c>
      <x:c r="H55" s="172" t="n">
        <x:v>0</x:v>
      </x:c>
      <x:c r="I55" s="172" t="n">
        <x:v>0</x:v>
      </x:c>
      <x:c r="J55" s="172" t="n">
        <x:v>0</x:v>
      </x:c>
      <x:c r="K55" s="172" t="n">
        <x:v>0</x:v>
      </x:c>
      <x:c r="L55" s="173" t="n">
        <x:f>F55*I55</x:f>
        <x:v>0</x:v>
      </x:c>
      <x:c r="M55" s="173" t="n">
        <x:f>G55*J55</x:f>
        <x:v>0</x:v>
      </x:c>
      <x:c r="N55" s="173" t="n">
        <x:f>H55*K55</x:f>
        <x:v>0</x:v>
      </x:c>
      <x:c r="O55" s="157" t="n">
        <x:v>0</x:v>
      </x:c>
      <x:c r="P55" s="157" t="n">
        <x:v>0</x:v>
      </x:c>
      <x:c r="Q55" s="157" t="n">
        <x:v>0</x:v>
      </x:c>
      <x:c r="R55" s="157" t="n">
        <x:v>0</x:v>
      </x:c>
      <x:c r="S55" s="157" t="n">
        <x:v>0</x:v>
      </x:c>
      <x:c r="T55" s="157" t="n">
        <x:v>0</x:v>
      </x:c>
      <x:c r="U55" s="157" t="n">
        <x:v>0</x:v>
      </x:c>
      <x:c r="V55" s="157" t="n">
        <x:v>0</x:v>
      </x:c>
      <x:c r="W55" s="157" t="n">
        <x:v>0</x:v>
      </x:c>
      <x:c r="X55" s="174" t="n">
        <x:f>L55*O55*R55*U55</x:f>
        <x:v>0</x:v>
      </x:c>
      <x:c r="Y55" s="174" t="n">
        <x:f>M55*P55*S55*V55</x:f>
        <x:v>0</x:v>
      </x:c>
      <x:c r="Z55" s="174" t="n">
        <x:f>N55*Q55*T55*W55</x:f>
        <x:v>0</x:v>
      </x:c>
      <x:c r="AA55" s="171" t="str">
        <x:v>Letno</x:v>
      </x:c>
      <x:c r="AB55" s="171" t="str">
        <x:v>D</x:v>
      </x:c>
      <x:c r="AC55" s="171" t="n">
        <x:v>0.25</x:v>
      </x:c>
      <x:c r="AD55" s="171" t="str"/>
    </x:row>
    <x:row r="56">
      <x:c r="A56" s="171" t="str"/>
      <x:c r="B56" s="171" t="str"/>
      <x:c r="C56" s="171" t="str"/>
      <x:c r="D56" s="171" t="str"/>
      <x:c r="E56" s="171" t="str"/>
      <x:c r="F56" s="172" t="n">
        <x:v>0</x:v>
      </x:c>
      <x:c r="G56" s="172" t="n">
        <x:v>0</x:v>
      </x:c>
      <x:c r="H56" s="172" t="n">
        <x:v>0</x:v>
      </x:c>
      <x:c r="I56" s="172" t="n">
        <x:v>0</x:v>
      </x:c>
      <x:c r="J56" s="172" t="n">
        <x:v>0</x:v>
      </x:c>
      <x:c r="K56" s="172" t="n">
        <x:v>0</x:v>
      </x:c>
      <x:c r="L56" s="173" t="n">
        <x:f>F56*I56</x:f>
        <x:v>0</x:v>
      </x:c>
      <x:c r="M56" s="173" t="n">
        <x:f>G56*J56</x:f>
        <x:v>0</x:v>
      </x:c>
      <x:c r="N56" s="173" t="n">
        <x:f>H56*K56</x:f>
        <x:v>0</x:v>
      </x:c>
      <x:c r="O56" s="157" t="n">
        <x:v>0</x:v>
      </x:c>
      <x:c r="P56" s="157" t="n">
        <x:v>0</x:v>
      </x:c>
      <x:c r="Q56" s="157" t="n">
        <x:v>0</x:v>
      </x:c>
      <x:c r="R56" s="157" t="n">
        <x:v>0</x:v>
      </x:c>
      <x:c r="S56" s="157" t="n">
        <x:v>0</x:v>
      </x:c>
      <x:c r="T56" s="157" t="n">
        <x:v>0</x:v>
      </x:c>
      <x:c r="U56" s="157" t="n">
        <x:v>0</x:v>
      </x:c>
      <x:c r="V56" s="157" t="n">
        <x:v>0</x:v>
      </x:c>
      <x:c r="W56" s="157" t="n">
        <x:v>0</x:v>
      </x:c>
      <x:c r="X56" s="174" t="n">
        <x:f>L56*O56*R56*U56</x:f>
        <x:v>0</x:v>
      </x:c>
      <x:c r="Y56" s="174" t="n">
        <x:f>M56*P56*S56*V56</x:f>
        <x:v>0</x:v>
      </x:c>
      <x:c r="Z56" s="174" t="n">
        <x:f>N56*Q56*T56*W56</x:f>
        <x:v>0</x:v>
      </x:c>
      <x:c r="AA56" s="171" t="str">
        <x:v>Letno</x:v>
      </x:c>
      <x:c r="AB56" s="171" t="str">
        <x:v>D</x:v>
      </x:c>
      <x:c r="AC56" s="171" t="n">
        <x:v>0.25</x:v>
      </x:c>
      <x:c r="AD56" s="171" t="str"/>
    </x:row>
    <x:row r="57">
      <x:c r="A57" s="171" t="str"/>
      <x:c r="B57" s="171" t="str"/>
      <x:c r="C57" s="171" t="str"/>
      <x:c r="D57" s="171" t="str"/>
      <x:c r="E57" s="171" t="str"/>
      <x:c r="F57" s="172" t="n">
        <x:v>0</x:v>
      </x:c>
      <x:c r="G57" s="172" t="n">
        <x:v>0</x:v>
      </x:c>
      <x:c r="H57" s="172" t="n">
        <x:v>0</x:v>
      </x:c>
      <x:c r="I57" s="172" t="n">
        <x:v>0</x:v>
      </x:c>
      <x:c r="J57" s="172" t="n">
        <x:v>0</x:v>
      </x:c>
      <x:c r="K57" s="172" t="n">
        <x:v>0</x:v>
      </x:c>
      <x:c r="L57" s="173" t="n">
        <x:f>F57*I57</x:f>
        <x:v>0</x:v>
      </x:c>
      <x:c r="M57" s="173" t="n">
        <x:f>G57*J57</x:f>
        <x:v>0</x:v>
      </x:c>
      <x:c r="N57" s="173" t="n">
        <x:f>H57*K57</x:f>
        <x:v>0</x:v>
      </x:c>
      <x:c r="O57" s="157" t="n">
        <x:v>0</x:v>
      </x:c>
      <x:c r="P57" s="157" t="n">
        <x:v>0</x:v>
      </x:c>
      <x:c r="Q57" s="157" t="n">
        <x:v>0</x:v>
      </x:c>
      <x:c r="R57" s="157" t="n">
        <x:v>0</x:v>
      </x:c>
      <x:c r="S57" s="157" t="n">
        <x:v>0</x:v>
      </x:c>
      <x:c r="T57" s="157" t="n">
        <x:v>0</x:v>
      </x:c>
      <x:c r="U57" s="157" t="n">
        <x:v>0</x:v>
      </x:c>
      <x:c r="V57" s="157" t="n">
        <x:v>0</x:v>
      </x:c>
      <x:c r="W57" s="157" t="n">
        <x:v>0</x:v>
      </x:c>
      <x:c r="X57" s="174" t="n">
        <x:f>L57*O57*R57*U57</x:f>
        <x:v>0</x:v>
      </x:c>
      <x:c r="Y57" s="174" t="n">
        <x:f>M57*P57*S57*V57</x:f>
        <x:v>0</x:v>
      </x:c>
      <x:c r="Z57" s="174" t="n">
        <x:f>N57*Q57*T57*W57</x:f>
        <x:v>0</x:v>
      </x:c>
      <x:c r="AA57" s="171" t="str">
        <x:v>Letno</x:v>
      </x:c>
      <x:c r="AB57" s="171" t="str">
        <x:v>D</x:v>
      </x:c>
      <x:c r="AC57" s="171" t="n">
        <x:v>0.25</x:v>
      </x:c>
      <x:c r="AD57" s="171" t="str"/>
    </x:row>
    <x:row r="58">
      <x:c r="A58" s="171" t="str"/>
      <x:c r="B58" s="171" t="str"/>
      <x:c r="C58" s="171" t="str"/>
      <x:c r="D58" s="171" t="str"/>
      <x:c r="E58" s="171" t="str"/>
      <x:c r="F58" s="172" t="n">
        <x:v>0</x:v>
      </x:c>
      <x:c r="G58" s="172" t="n">
        <x:v>0</x:v>
      </x:c>
      <x:c r="H58" s="172" t="n">
        <x:v>0</x:v>
      </x:c>
      <x:c r="I58" s="172" t="n">
        <x:v>0</x:v>
      </x:c>
      <x:c r="J58" s="172" t="n">
        <x:v>0</x:v>
      </x:c>
      <x:c r="K58" s="172" t="n">
        <x:v>0</x:v>
      </x:c>
      <x:c r="L58" s="173" t="n">
        <x:f>F58*I58</x:f>
        <x:v>0</x:v>
      </x:c>
      <x:c r="M58" s="173" t="n">
        <x:f>G58*J58</x:f>
        <x:v>0</x:v>
      </x:c>
      <x:c r="N58" s="173" t="n">
        <x:f>H58*K58</x:f>
        <x:v>0</x:v>
      </x:c>
      <x:c r="O58" s="157" t="n">
        <x:v>0</x:v>
      </x:c>
      <x:c r="P58" s="157" t="n">
        <x:v>0</x:v>
      </x:c>
      <x:c r="Q58" s="157" t="n">
        <x:v>0</x:v>
      </x:c>
      <x:c r="R58" s="157" t="n">
        <x:v>0</x:v>
      </x:c>
      <x:c r="S58" s="157" t="n">
        <x:v>0</x:v>
      </x:c>
      <x:c r="T58" s="157" t="n">
        <x:v>0</x:v>
      </x:c>
      <x:c r="U58" s="157" t="n">
        <x:v>0</x:v>
      </x:c>
      <x:c r="V58" s="157" t="n">
        <x:v>0</x:v>
      </x:c>
      <x:c r="W58" s="157" t="n">
        <x:v>0</x:v>
      </x:c>
      <x:c r="X58" s="174" t="n">
        <x:f>L58*O58*R58*U58</x:f>
        <x:v>0</x:v>
      </x:c>
      <x:c r="Y58" s="174" t="n">
        <x:f>M58*P58*S58*V58</x:f>
        <x:v>0</x:v>
      </x:c>
      <x:c r="Z58" s="174" t="n">
        <x:f>N58*Q58*T58*W58</x:f>
        <x:v>0</x:v>
      </x:c>
      <x:c r="AA58" s="171" t="str">
        <x:v>Letno</x:v>
      </x:c>
      <x:c r="AB58" s="171" t="str">
        <x:v>D</x:v>
      </x:c>
      <x:c r="AC58" s="171" t="n">
        <x:v>0.25</x:v>
      </x:c>
      <x:c r="AD58" s="171" t="str"/>
    </x:row>
    <x:row r="59">
      <x:c r="A59" s="171" t="str"/>
      <x:c r="B59" s="171" t="str"/>
      <x:c r="C59" s="171" t="str"/>
      <x:c r="D59" s="171" t="str"/>
      <x:c r="E59" s="171" t="str"/>
      <x:c r="F59" s="172" t="n">
        <x:v>0</x:v>
      </x:c>
      <x:c r="G59" s="172" t="n">
        <x:v>0</x:v>
      </x:c>
      <x:c r="H59" s="172" t="n">
        <x:v>0</x:v>
      </x:c>
      <x:c r="I59" s="172" t="n">
        <x:v>0</x:v>
      </x:c>
      <x:c r="J59" s="172" t="n">
        <x:v>0</x:v>
      </x:c>
      <x:c r="K59" s="172" t="n">
        <x:v>0</x:v>
      </x:c>
      <x:c r="L59" s="173" t="n">
        <x:f>F59*I59</x:f>
        <x:v>0</x:v>
      </x:c>
      <x:c r="M59" s="173" t="n">
        <x:f>G59*J59</x:f>
        <x:v>0</x:v>
      </x:c>
      <x:c r="N59" s="173" t="n">
        <x:f>H59*K59</x:f>
        <x:v>0</x:v>
      </x:c>
      <x:c r="O59" s="157" t="n">
        <x:v>0</x:v>
      </x:c>
      <x:c r="P59" s="157" t="n">
        <x:v>0</x:v>
      </x:c>
      <x:c r="Q59" s="157" t="n">
        <x:v>0</x:v>
      </x:c>
      <x:c r="R59" s="157" t="n">
        <x:v>0</x:v>
      </x:c>
      <x:c r="S59" s="157" t="n">
        <x:v>0</x:v>
      </x:c>
      <x:c r="T59" s="157" t="n">
        <x:v>0</x:v>
      </x:c>
      <x:c r="U59" s="157" t="n">
        <x:v>0</x:v>
      </x:c>
      <x:c r="V59" s="157" t="n">
        <x:v>0</x:v>
      </x:c>
      <x:c r="W59" s="157" t="n">
        <x:v>0</x:v>
      </x:c>
      <x:c r="X59" s="174" t="n">
        <x:f>L59*O59*R59*U59</x:f>
        <x:v>0</x:v>
      </x:c>
      <x:c r="Y59" s="174" t="n">
        <x:f>M59*P59*S59*V59</x:f>
        <x:v>0</x:v>
      </x:c>
      <x:c r="Z59" s="174" t="n">
        <x:f>N59*Q59*T59*W59</x:f>
        <x:v>0</x:v>
      </x:c>
      <x:c r="AA59" s="171" t="str">
        <x:v>Letno</x:v>
      </x:c>
      <x:c r="AB59" s="171" t="str">
        <x:v>D</x:v>
      </x:c>
      <x:c r="AC59" s="171" t="n">
        <x:v>0.25</x:v>
      </x:c>
      <x:c r="AD59" s="171" t="str"/>
    </x:row>
    <x:row r="60">
      <x:c r="A60" s="171" t="str"/>
      <x:c r="B60" s="171" t="str"/>
      <x:c r="C60" s="171" t="str"/>
      <x:c r="D60" s="171" t="str"/>
      <x:c r="E60" s="171" t="str"/>
      <x:c r="F60" s="172" t="n">
        <x:v>0</x:v>
      </x:c>
      <x:c r="G60" s="172" t="n">
        <x:v>0</x:v>
      </x:c>
      <x:c r="H60" s="172" t="n">
        <x:v>0</x:v>
      </x:c>
      <x:c r="I60" s="172" t="n">
        <x:v>0</x:v>
      </x:c>
      <x:c r="J60" s="172" t="n">
        <x:v>0</x:v>
      </x:c>
      <x:c r="K60" s="172" t="n">
        <x:v>0</x:v>
      </x:c>
      <x:c r="L60" s="173" t="n">
        <x:f>F60*I60</x:f>
        <x:v>0</x:v>
      </x:c>
      <x:c r="M60" s="173" t="n">
        <x:f>G60*J60</x:f>
        <x:v>0</x:v>
      </x:c>
      <x:c r="N60" s="173" t="n">
        <x:f>H60*K60</x:f>
        <x:v>0</x:v>
      </x:c>
      <x:c r="O60" s="157" t="n">
        <x:v>0</x:v>
      </x:c>
      <x:c r="P60" s="157" t="n">
        <x:v>0</x:v>
      </x:c>
      <x:c r="Q60" s="157" t="n">
        <x:v>0</x:v>
      </x:c>
      <x:c r="R60" s="157" t="n">
        <x:v>0</x:v>
      </x:c>
      <x:c r="S60" s="157" t="n">
        <x:v>0</x:v>
      </x:c>
      <x:c r="T60" s="157" t="n">
        <x:v>0</x:v>
      </x:c>
      <x:c r="U60" s="157" t="n">
        <x:v>0</x:v>
      </x:c>
      <x:c r="V60" s="157" t="n">
        <x:v>0</x:v>
      </x:c>
      <x:c r="W60" s="157" t="n">
        <x:v>0</x:v>
      </x:c>
      <x:c r="X60" s="174" t="n">
        <x:f>L60*O60*R60*U60</x:f>
        <x:v>0</x:v>
      </x:c>
      <x:c r="Y60" s="174" t="n">
        <x:f>M60*P60*S60*V60</x:f>
        <x:v>0</x:v>
      </x:c>
      <x:c r="Z60" s="174" t="n">
        <x:f>N60*Q60*T60*W60</x:f>
        <x:v>0</x:v>
      </x:c>
      <x:c r="AA60" s="171" t="str">
        <x:v>Letno</x:v>
      </x:c>
      <x:c r="AB60" s="171" t="str">
        <x:v>D</x:v>
      </x:c>
      <x:c r="AC60" s="171" t="n">
        <x:v>0.25</x:v>
      </x:c>
      <x:c r="AD60" s="171" t="str"/>
    </x:row>
    <x:row r="61">
      <x:c r="A61" s="171" t="str"/>
      <x:c r="B61" s="171" t="str"/>
      <x:c r="C61" s="171" t="str"/>
      <x:c r="D61" s="171" t="str"/>
      <x:c r="E61" s="171" t="str"/>
      <x:c r="F61" s="172" t="n">
        <x:v>0</x:v>
      </x:c>
      <x:c r="G61" s="172" t="n">
        <x:v>0</x:v>
      </x:c>
      <x:c r="H61" s="172" t="n">
        <x:v>0</x:v>
      </x:c>
      <x:c r="I61" s="172" t="n">
        <x:v>0</x:v>
      </x:c>
      <x:c r="J61" s="172" t="n">
        <x:v>0</x:v>
      </x:c>
      <x:c r="K61" s="172" t="n">
        <x:v>0</x:v>
      </x:c>
      <x:c r="L61" s="173" t="n">
        <x:f>F61*I61</x:f>
        <x:v>0</x:v>
      </x:c>
      <x:c r="M61" s="173" t="n">
        <x:f>G61*J61</x:f>
        <x:v>0</x:v>
      </x:c>
      <x:c r="N61" s="173" t="n">
        <x:f>H61*K61</x:f>
        <x:v>0</x:v>
      </x:c>
      <x:c r="O61" s="157" t="n">
        <x:v>0</x:v>
      </x:c>
      <x:c r="P61" s="157" t="n">
        <x:v>0</x:v>
      </x:c>
      <x:c r="Q61" s="157" t="n">
        <x:v>0</x:v>
      </x:c>
      <x:c r="R61" s="157" t="n">
        <x:v>0</x:v>
      </x:c>
      <x:c r="S61" s="157" t="n">
        <x:v>0</x:v>
      </x:c>
      <x:c r="T61" s="157" t="n">
        <x:v>0</x:v>
      </x:c>
      <x:c r="U61" s="157" t="n">
        <x:v>0</x:v>
      </x:c>
      <x:c r="V61" s="157" t="n">
        <x:v>0</x:v>
      </x:c>
      <x:c r="W61" s="157" t="n">
        <x:v>0</x:v>
      </x:c>
      <x:c r="X61" s="174" t="n">
        <x:f>L61*O61*R61*U61</x:f>
        <x:v>0</x:v>
      </x:c>
      <x:c r="Y61" s="174" t="n">
        <x:f>M61*P61*S61*V61</x:f>
        <x:v>0</x:v>
      </x:c>
      <x:c r="Z61" s="174" t="n">
        <x:f>N61*Q61*T61*W61</x:f>
        <x:v>0</x:v>
      </x:c>
      <x:c r="AA61" s="171" t="str">
        <x:v>Letno</x:v>
      </x:c>
      <x:c r="AB61" s="171" t="str">
        <x:v>D</x:v>
      </x:c>
      <x:c r="AC61" s="171" t="n">
        <x:v>0.25</x:v>
      </x:c>
      <x:c r="AD61" s="171" t="str"/>
    </x:row>
    <x:row r="62">
      <x:c r="A62" s="171" t="str"/>
      <x:c r="B62" s="171" t="str"/>
      <x:c r="C62" s="171" t="str"/>
      <x:c r="D62" s="171" t="str"/>
      <x:c r="E62" s="171" t="str"/>
      <x:c r="F62" s="172" t="n">
        <x:v>0</x:v>
      </x:c>
      <x:c r="G62" s="172" t="n">
        <x:v>0</x:v>
      </x:c>
      <x:c r="H62" s="172" t="n">
        <x:v>0</x:v>
      </x:c>
      <x:c r="I62" s="172" t="n">
        <x:v>0</x:v>
      </x:c>
      <x:c r="J62" s="172" t="n">
        <x:v>0</x:v>
      </x:c>
      <x:c r="K62" s="172" t="n">
        <x:v>0</x:v>
      </x:c>
      <x:c r="L62" s="173" t="n">
        <x:f>F62*I62</x:f>
        <x:v>0</x:v>
      </x:c>
      <x:c r="M62" s="173" t="n">
        <x:f>G62*J62</x:f>
        <x:v>0</x:v>
      </x:c>
      <x:c r="N62" s="173" t="n">
        <x:f>H62*K62</x:f>
        <x:v>0</x:v>
      </x:c>
      <x:c r="O62" s="157" t="n">
        <x:v>0</x:v>
      </x:c>
      <x:c r="P62" s="157" t="n">
        <x:v>0</x:v>
      </x:c>
      <x:c r="Q62" s="157" t="n">
        <x:v>0</x:v>
      </x:c>
      <x:c r="R62" s="157" t="n">
        <x:v>0</x:v>
      </x:c>
      <x:c r="S62" s="157" t="n">
        <x:v>0</x:v>
      </x:c>
      <x:c r="T62" s="157" t="n">
        <x:v>0</x:v>
      </x:c>
      <x:c r="U62" s="157" t="n">
        <x:v>0</x:v>
      </x:c>
      <x:c r="V62" s="157" t="n">
        <x:v>0</x:v>
      </x:c>
      <x:c r="W62" s="157" t="n">
        <x:v>0</x:v>
      </x:c>
      <x:c r="X62" s="174" t="n">
        <x:f>L62*O62*R62*U62</x:f>
        <x:v>0</x:v>
      </x:c>
      <x:c r="Y62" s="174" t="n">
        <x:f>M62*P62*S62*V62</x:f>
        <x:v>0</x:v>
      </x:c>
      <x:c r="Z62" s="174" t="n">
        <x:f>N62*Q62*T62*W62</x:f>
        <x:v>0</x:v>
      </x:c>
      <x:c r="AA62" s="171" t="str">
        <x:v>Letno</x:v>
      </x:c>
      <x:c r="AB62" s="171" t="str">
        <x:v>D</x:v>
      </x:c>
      <x:c r="AC62" s="171" t="n">
        <x:v>0.25</x:v>
      </x:c>
      <x:c r="AD62" s="171" t="str"/>
    </x:row>
    <x:row r="63">
      <x:c r="A63" s="171" t="str"/>
      <x:c r="B63" s="171" t="str"/>
      <x:c r="C63" s="171" t="str"/>
      <x:c r="D63" s="171" t="str"/>
      <x:c r="E63" s="171" t="str"/>
      <x:c r="F63" s="172" t="n">
        <x:v>0</x:v>
      </x:c>
      <x:c r="G63" s="172" t="n">
        <x:v>0</x:v>
      </x:c>
      <x:c r="H63" s="172" t="n">
        <x:v>0</x:v>
      </x:c>
      <x:c r="I63" s="172" t="n">
        <x:v>0</x:v>
      </x:c>
      <x:c r="J63" s="172" t="n">
        <x:v>0</x:v>
      </x:c>
      <x:c r="K63" s="172" t="n">
        <x:v>0</x:v>
      </x:c>
      <x:c r="L63" s="173" t="n">
        <x:f>F63*I63</x:f>
        <x:v>0</x:v>
      </x:c>
      <x:c r="M63" s="173" t="n">
        <x:f>G63*J63</x:f>
        <x:v>0</x:v>
      </x:c>
      <x:c r="N63" s="173" t="n">
        <x:f>H63*K63</x:f>
        <x:v>0</x:v>
      </x:c>
      <x:c r="O63" s="157" t="n">
        <x:v>0</x:v>
      </x:c>
      <x:c r="P63" s="157" t="n">
        <x:v>0</x:v>
      </x:c>
      <x:c r="Q63" s="157" t="n">
        <x:v>0</x:v>
      </x:c>
      <x:c r="R63" s="157" t="n">
        <x:v>0</x:v>
      </x:c>
      <x:c r="S63" s="157" t="n">
        <x:v>0</x:v>
      </x:c>
      <x:c r="T63" s="157" t="n">
        <x:v>0</x:v>
      </x:c>
      <x:c r="U63" s="157" t="n">
        <x:v>0</x:v>
      </x:c>
      <x:c r="V63" s="157" t="n">
        <x:v>0</x:v>
      </x:c>
      <x:c r="W63" s="157" t="n">
        <x:v>0</x:v>
      </x:c>
      <x:c r="X63" s="174" t="n">
        <x:f>L63*O63*R63*U63</x:f>
        <x:v>0</x:v>
      </x:c>
      <x:c r="Y63" s="174" t="n">
        <x:f>M63*P63*S63*V63</x:f>
        <x:v>0</x:v>
      </x:c>
      <x:c r="Z63" s="174" t="n">
        <x:f>N63*Q63*T63*W63</x:f>
        <x:v>0</x:v>
      </x:c>
      <x:c r="AA63" s="171" t="str">
        <x:v>Letno</x:v>
      </x:c>
      <x:c r="AB63" s="171" t="str">
        <x:v>D</x:v>
      </x:c>
      <x:c r="AC63" s="171" t="n">
        <x:v>0.25</x:v>
      </x:c>
      <x:c r="AD63" s="171" t="str"/>
    </x:row>
    <x:row r="64">
      <x:c r="A64" s="175" t="str"/>
      <x:c r="B64" s="175" t="str"/>
      <x:c r="C64" s="175" t="str"/>
      <x:c r="D64" s="175" t="str"/>
      <x:c r="E64" s="175" t="str"/>
      <x:c r="F64" s="176" t="n">
        <x:v>0</x:v>
      </x:c>
      <x:c r="G64" s="176" t="n">
        <x:v>0</x:v>
      </x:c>
      <x:c r="H64" s="176" t="n">
        <x:v>0</x:v>
      </x:c>
      <x:c r="I64" s="176" t="n">
        <x:v>0</x:v>
      </x:c>
      <x:c r="J64" s="176" t="n">
        <x:v>0</x:v>
      </x:c>
      <x:c r="K64" s="176" t="n">
        <x:v>0</x:v>
      </x:c>
      <x:c r="L64" s="177" t="n">
        <x:f>F64*I64</x:f>
        <x:v>0</x:v>
      </x:c>
      <x:c r="M64" s="177" t="n">
        <x:f>G64*J64</x:f>
        <x:v>0</x:v>
      </x:c>
      <x:c r="N64" s="177" t="n">
        <x:f>H64*K64</x:f>
        <x:v>0</x:v>
      </x:c>
      <x:c r="O64" s="178" t="n">
        <x:v>0</x:v>
      </x:c>
      <x:c r="P64" s="178" t="n">
        <x:v>0</x:v>
      </x:c>
      <x:c r="Q64" s="178" t="n">
        <x:v>0</x:v>
      </x:c>
      <x:c r="R64" s="178" t="n">
        <x:v>0</x:v>
      </x:c>
      <x:c r="S64" s="178" t="n">
        <x:v>0</x:v>
      </x:c>
      <x:c r="T64" s="178" t="n">
        <x:v>0</x:v>
      </x:c>
      <x:c r="U64" s="178" t="n">
        <x:v>0</x:v>
      </x:c>
      <x:c r="V64" s="178" t="n">
        <x:v>0</x:v>
      </x:c>
      <x:c r="W64" s="178" t="n">
        <x:v>0</x:v>
      </x:c>
      <x:c r="X64" s="179" t="n">
        <x:f>L64*O64*R64*U64</x:f>
        <x:v>0</x:v>
      </x:c>
      <x:c r="Y64" s="179" t="n">
        <x:f>M64*P64*S64*V64</x:f>
        <x:v>0</x:v>
      </x:c>
      <x:c r="Z64" s="179" t="n">
        <x:f>N64*Q64*T64*W64</x:f>
        <x:v>0</x:v>
      </x:c>
      <x:c r="AA64" s="175" t="str">
        <x:v>Letno</x:v>
      </x:c>
      <x:c r="AB64" s="175" t="str">
        <x:v>D</x:v>
      </x:c>
      <x:c r="AC64" s="175" t="n">
        <x:v>0.25</x:v>
      </x:c>
      <x:c r="AD64" s="175" t="str"/>
    </x:row>
  </x:sheetData>
  <x:mergeCells>
    <x:mergeCell ref="A1:AD1"/>
    <x:mergeCell ref="A2:AD2"/>
  </x:mergeCells>
  <x:dataValidations count="3">
    <x:dataValidation type="list" sqref="AA5:AA64">
      <x:formula1>"Letno,Enkratno,Tveganje"</x:formula1>
    </x:dataValidation>
    <x:dataValidation type="list" sqref="AB5:AB64">
      <x:formula1>"A,B,C,D"</x:formula1>
    </x:dataValidation>
    <x:dataValidation type="decimal" operator="between" sqref="O5:W64">
      <x:formula1>0</x:formula1>
      <x:formula2>1</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0" hidden="0" customWidth="1"/>
    <x:col min="4" max="4" width="20" hidden="0" customWidth="1"/>
    <x:col min="5" max="5" width="3" hidden="0" customWidth="1"/>
    <x:col min="6" max="6" width="20" hidden="0" customWidth="1"/>
    <x:col min="7" max="7" width="17"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4" customHeight="1">
      <x:c r="A1" s="151" t="str">
        <x:v>ROI, payback in NPV po scenarijih</x:v>
      </x:c>
      <x:c r="B1" s="120"/>
      <x:c r="C1" s="120"/>
      <x:c r="D1" s="120"/>
      <x:c r="E1" s="120"/>
      <x:c r="F1" s="120"/>
      <x:c r="G1" s="120"/>
    </x:row>
    <x:row r="2" ht="28" customHeight="1">
      <x:c r="A2" s="121" t="str">
        <x:v>Koristi izhajajo iz registra izgub; kapital je enkraten denarni tok, letne koristi pa se uvajajo postopno</x:v>
      </x:c>
      <x:c r="B2" s="120"/>
      <x:c r="C2" s="120"/>
      <x:c r="D2" s="120"/>
      <x:c r="E2" s="120"/>
      <x:c r="F2" s="120"/>
      <x:c r="G2" s="120"/>
    </x:row>
    <x:row r="3">
      <x:c r="A3" s="120"/>
      <x:c r="B3" s="120"/>
      <x:c r="C3" s="120"/>
      <x:c r="D3" s="120"/>
      <x:c r="E3" s="120"/>
      <x:c r="F3" s="120"/>
      <x:c r="G3" s="120"/>
    </x:row>
    <x:row r="4" ht="30" customHeight="1">
      <x:c r="A4" s="133" t="str">
        <x:v>Postavka</x:v>
      </x:c>
      <x:c r="B4" s="134" t="str">
        <x:v>Konservativni</x:v>
      </x:c>
      <x:c r="C4" s="134" t="str">
        <x:v>Najverjetnejši</x:v>
      </x:c>
      <x:c r="D4" s="135" t="str">
        <x:v>Polni potencial</x:v>
      </x:c>
      <x:c r="E4" s="120"/>
      <x:c r="F4" s="133" t="str">
        <x:v>Scenarij</x:v>
      </x:c>
      <x:c r="G4" s="135" t="str">
        <x:v>ROI 3 leta</x:v>
      </x:c>
    </x:row>
    <x:row r="5">
      <x:c r="A5" s="136" t="str">
        <x:v>Letna korist pri polni realizaciji</x:v>
      </x:c>
      <x:c r="B5" s="180" t="n">
        <x:f>SUMIFS('03_Register_izgub'!$X$5:$X$64,'03_Register_izgub'!$AA$5:$AA$64,"Letno")</x:f>
        <x:v>26782.2</x:v>
      </x:c>
      <x:c r="C5" s="180" t="n">
        <x:f>SUMIFS('03_Register_izgub'!$Y$5:$Y$64,'03_Register_izgub'!$AA$5:$AA$64,"Letno")</x:f>
        <x:v>130528.64800000002</x:v>
      </x:c>
      <x:c r="D5" s="180" t="n">
        <x:f>SUMIFS('03_Register_izgub'!$Z$5:$Z$64,'03_Register_izgub'!$AA$5:$AA$64,"Letno")</x:f>
        <x:v>434532.1050000001</x:v>
      </x:c>
      <x:c r="E5" s="120"/>
      <x:c r="F5" s="120" t="str">
        <x:v>Konservativni</x:v>
      </x:c>
      <x:c r="G5" s="181" t="n">
        <x:f>B19</x:f>
        <x:v>-0.7155487288835215</x:v>
      </x:c>
    </x:row>
    <x:row r="6">
      <x:c r="A6" s="139" t="str">
        <x:v>Enkratna sprostitev kapitala</x:v>
      </x:c>
      <x:c r="B6" s="182" t="n">
        <x:f>SUMIFS('03_Register_izgub'!$X$5:$X$64,'03_Register_izgub'!$AA$5:$AA$64,"Enkratno")</x:f>
        <x:v>17790.39</x:v>
      </x:c>
      <x:c r="C6" s="182" t="n">
        <x:f>SUMIFS('03_Register_izgub'!$Y$5:$Y$64,'03_Register_izgub'!$AA$5:$AA$64,"Enkratno")</x:f>
        <x:v>75684.92</x:v>
      </x:c>
      <x:c r="D6" s="182" t="n">
        <x:f>SUMIFS('03_Register_izgub'!$Z$5:$Z$64,'03_Register_izgub'!$AA$5:$AA$64,"Enkratno")</x:f>
        <x:v>203865.58125</x:v>
      </x:c>
      <x:c r="E6" s="120"/>
      <x:c r="F6" s="120" t="str">
        <x:v>Najverjetnejši</x:v>
      </x:c>
      <x:c r="G6" s="181" t="n">
        <x:f>C19</x:f>
        <x:v>0.7712980040541983</x:v>
      </x:c>
    </x:row>
    <x:row r="7">
      <x:c r="A7" s="139" t="str">
        <x:v>Faktor stroška investicije</x:v>
      </x:c>
      <x:c r="B7" s="157" t="n">
        <x:v>1.15</x:v>
      </x:c>
      <x:c r="C7" s="157" t="n">
        <x:v>1</x:v>
      </x:c>
      <x:c r="D7" s="157" t="n">
        <x:v>0.95</x:v>
      </x:c>
      <x:c r="E7" s="120"/>
      <x:c r="F7" s="120" t="str">
        <x:v>Polni potencial</x:v>
      </x:c>
      <x:c r="G7" s="181" t="n">
        <x:f>D19</x:f>
        <x:v>5.254957042606242</x:v>
      </x:c>
    </x:row>
    <x:row r="8">
      <x:c r="A8" s="139" t="str">
        <x:v>Faktor tekočega stroška</x:v>
      </x:c>
      <x:c r="B8" s="157" t="n">
        <x:v>1.1</x:v>
      </x:c>
      <x:c r="C8" s="157" t="n">
        <x:v>1</x:v>
      </x:c>
      <x:c r="D8" s="157" t="n">
        <x:v>1</x:v>
      </x:c>
      <x:c r="E8" s="120"/>
      <x:c r="F8" s="120"/>
      <x:c r="G8" s="120"/>
    </x:row>
    <x:row r="9">
      <x:c r="A9" s="139" t="str">
        <x:v>Začetna investicija</x:v>
      </x:c>
      <x:c r="B9" s="182" t="n">
        <x:f>('01_Vhodi'!$C$20+'01_Vhodi'!$C$21+'01_Vhodi'!$C$22+'01_Vhodi'!$C$23+'01_Vhodi'!$C$18*'01_Vhodi'!$C$19+'01_Vhodi'!$C$26)*(1+'01_Vhodi'!$C$24)*B7</x:f>
        <x:v>165973.75</x:v>
      </x:c>
      <x:c r="C9" s="182" t="n">
        <x:f>('01_Vhodi'!$C$20+'01_Vhodi'!$C$21+'01_Vhodi'!$C$22+'01_Vhodi'!$C$23+'01_Vhodi'!$C$18*'01_Vhodi'!$C$19+'01_Vhodi'!$C$26)*(1+'01_Vhodi'!$C$24)*C7</x:f>
        <x:v>144325</x:v>
      </x:c>
      <x:c r="D9" s="182" t="n">
        <x:f>('01_Vhodi'!$C$20+'01_Vhodi'!$C$21+'01_Vhodi'!$C$22+'01_Vhodi'!$C$23+'01_Vhodi'!$C$18*'01_Vhodi'!$C$19+'01_Vhodi'!$C$26)*(1+'01_Vhodi'!$C$24)*D7</x:f>
        <x:v>137108.75</x:v>
      </x:c>
      <x:c r="E9" s="120"/>
      <x:c r="F9" s="120"/>
      <x:c r="G9" s="120"/>
    </x:row>
    <x:row r="10">
      <x:c r="A10" s="139" t="str">
        <x:v>Letni tekoči strošek</x:v>
      </x:c>
      <x:c r="B10" s="182" t="n">
        <x:f>'01_Vhodi'!$C$25*B8</x:f>
        <x:v>33000</x:v>
      </x:c>
      <x:c r="C10" s="182" t="n">
        <x:f>'01_Vhodi'!$C$25*C8</x:f>
        <x:v>30000</x:v>
      </x:c>
      <x:c r="D10" s="182" t="n">
        <x:f>'01_Vhodi'!$C$25*D8</x:f>
        <x:v>30000</x:v>
      </x:c>
      <x:c r="E10" s="120"/>
      <x:c r="F10" s="120"/>
      <x:c r="G10" s="120"/>
    </x:row>
    <x:row r="11">
      <x:c r="A11" s="139" t="str">
        <x:v>Realizacija koristi — leto 1</x:v>
      </x:c>
      <x:c r="B11" s="157" t="n">
        <x:v>0.45</x:v>
      </x:c>
      <x:c r="C11" s="157" t="n">
        <x:v>0.65</x:v>
      </x:c>
      <x:c r="D11" s="157" t="n">
        <x:v>0.8</x:v>
      </x:c>
      <x:c r="E11" s="120"/>
      <x:c r="F11" s="120"/>
      <x:c r="G11" s="120"/>
    </x:row>
    <x:row r="12">
      <x:c r="A12" s="139" t="str">
        <x:v>Realizacija koristi — leto 2</x:v>
      </x:c>
      <x:c r="B12" s="157" t="n">
        <x:v>0.8</x:v>
      </x:c>
      <x:c r="C12" s="157" t="n">
        <x:v>0.95</x:v>
      </x:c>
      <x:c r="D12" s="157" t="n">
        <x:v>1</x:v>
      </x:c>
      <x:c r="E12" s="120"/>
      <x:c r="F12" s="120"/>
      <x:c r="G12" s="120"/>
    </x:row>
    <x:row r="13">
      <x:c r="A13" s="139" t="str">
        <x:v>Realizacija koristi — leto 3</x:v>
      </x:c>
      <x:c r="B13" s="157" t="n">
        <x:v>0.9</x:v>
      </x:c>
      <x:c r="C13" s="157" t="n">
        <x:v>1</x:v>
      </x:c>
      <x:c r="D13" s="157" t="n">
        <x:v>1</x:v>
      </x:c>
      <x:c r="E13" s="120"/>
      <x:c r="F13" s="120"/>
      <x:c r="G13" s="120"/>
    </x:row>
    <x:row r="14">
      <x:c r="A14" s="139" t="str">
        <x:v>Koristi — leto 1</x:v>
      </x:c>
      <x:c r="B14" s="183" t="n">
        <x:f>B5*B11+B6</x:f>
        <x:v>29842.379999999997</x:v>
      </x:c>
      <x:c r="C14" s="183" t="n">
        <x:f>C5*C11+C6</x:f>
        <x:v>160528.5412</x:v>
      </x:c>
      <x:c r="D14" s="183" t="n">
        <x:f>D5*D11+D6</x:f>
        <x:v>551491.2652500002</x:v>
      </x:c>
      <x:c r="E14" s="120"/>
      <x:c r="F14" s="120"/>
      <x:c r="G14" s="120"/>
    </x:row>
    <x:row r="15">
      <x:c r="A15" s="139" t="str">
        <x:v>Koristi — leto 2</x:v>
      </x:c>
      <x:c r="B15" s="183" t="n">
        <x:f>B5*B12</x:f>
        <x:v>21425.760000000002</x:v>
      </x:c>
      <x:c r="C15" s="183" t="n">
        <x:f>C5*C12</x:f>
        <x:v>124002.21560000001</x:v>
      </x:c>
      <x:c r="D15" s="183" t="n">
        <x:f>D5*D12</x:f>
        <x:v>434532.1050000001</x:v>
      </x:c>
      <x:c r="E15" s="120"/>
      <x:c r="F15" s="120"/>
      <x:c r="G15" s="120"/>
    </x:row>
    <x:row r="16">
      <x:c r="A16" s="139" t="str">
        <x:v>Koristi — leto 3</x:v>
      </x:c>
      <x:c r="B16" s="183" t="n">
        <x:f>B5*B13</x:f>
        <x:v>24103.98</x:v>
      </x:c>
      <x:c r="C16" s="183" t="n">
        <x:f>C5*C13</x:f>
        <x:v>130528.64800000002</x:v>
      </x:c>
      <x:c r="D16" s="183" t="n">
        <x:f>D5*D13</x:f>
        <x:v>434532.1050000001</x:v>
      </x:c>
      <x:c r="E16" s="120"/>
      <x:c r="F16" s="120"/>
      <x:c r="G16" s="120"/>
    </x:row>
    <x:row r="17">
      <x:c r="A17" s="139" t="str">
        <x:v>Skupne koristi 3 leta</x:v>
      </x:c>
      <x:c r="B17" s="183" t="n">
        <x:f>SUM(B14:B16)</x:f>
        <x:v>75372.12</x:v>
      </x:c>
      <x:c r="C17" s="183" t="n">
        <x:f>SUM(C14:C16)</x:f>
        <x:v>415059.4048</x:v>
      </x:c>
      <x:c r="D17" s="183" t="n">
        <x:f>SUM(D14:D16)</x:f>
        <x:v>1420555.4752500004</x:v>
      </x:c>
      <x:c r="E17" s="120"/>
      <x:c r="F17" s="120"/>
      <x:c r="G17" s="120"/>
    </x:row>
    <x:row r="18">
      <x:c r="A18" s="139" t="str">
        <x:v>Skupni stroški 3 leta</x:v>
      </x:c>
      <x:c r="B18" s="183" t="n">
        <x:f>B9+3*B10</x:f>
        <x:v>264973.75</x:v>
      </x:c>
      <x:c r="C18" s="183" t="n">
        <x:f>C9+3*C10</x:f>
        <x:v>234325</x:v>
      </x:c>
      <x:c r="D18" s="183" t="n">
        <x:f>D9+3*D10</x:f>
        <x:v>227108.75</x:v>
      </x:c>
      <x:c r="E18" s="120"/>
      <x:c r="F18" s="120"/>
      <x:c r="G18" s="120"/>
    </x:row>
    <x:row r="19">
      <x:c r="A19" s="184" t="str">
        <x:v>ROI 3 leta</x:v>
      </x:c>
      <x:c r="B19" s="185" t="n">
        <x:f>IF(B18=0,0,(B17-B18)/B18)</x:f>
        <x:v>-0.7155487288835215</x:v>
      </x:c>
      <x:c r="C19" s="185" t="n">
        <x:f>IF(C18=0,0,(C17-C18)/C18)</x:f>
        <x:v>0.7712980040541983</x:v>
      </x:c>
      <x:c r="D19" s="185" t="n">
        <x:f>IF(D18=0,0,(D17-D18)/D18)</x:f>
        <x:v>5.254957042606242</x:v>
      </x:c>
      <x:c r="E19" s="120"/>
      <x:c r="F19" s="120"/>
      <x:c r="G19" s="120"/>
    </x:row>
    <x:row r="20">
      <x:c r="A20" s="184" t="str">
        <x:v>NPV 3 leta</x:v>
      </x:c>
      <x:c r="B20" s="186" t="n">
        <x:f>-B9+(B14-B10)/(1+'01_Vhodi'!$C$15)+(B15-B10)/(1+'01_Vhodi'!$C$15)^2+(B16-B10)/(1+'01_Vhodi'!$C$15)^3</x:f>
        <x:v>-185882.4649824722</x:v>
      </x:c>
      <x:c r="C20" s="186" t="n">
        <x:f>-C9+(C14-C10)/(1+'01_Vhodi'!$C$15)+(C15-C10)/(1+'01_Vhodi'!$C$15)^2+(C16-C10)/(1+'01_Vhodi'!$C$15)^3</x:f>
        <x:v>136929.39092719607</x:v>
      </x:c>
      <x:c r="D20" s="186" t="n">
        <x:f>-D9+(D14-D10)/(1+'01_Vhodi'!$C$15)+(D15-D10)/(1+'01_Vhodi'!$C$15)^2+(D16-D10)/(1+'01_Vhodi'!$C$15)^3</x:f>
        <x:v>1013705.2377905429</x:v>
      </x:c>
      <x:c r="E20" s="120"/>
      <x:c r="F20" s="120"/>
      <x:c r="G20" s="120"/>
    </x:row>
    <x:row r="21">
      <x:c r="A21" s="187" t="str">
        <x:v>Doba povračila</x:v>
      </x:c>
      <x:c r="B21" s="188" t="str">
        <x:f>IF(B5*B12&lt;=B10,"N/A",'01_Vhodi'!$C$16+MAX(0,(B9-B6)/(B5*B12-B10)*12))</x:f>
        <x:v>N/A</x:v>
      </x:c>
      <x:c r="C21" s="188" t="n">
        <x:f>IF(C5*C12&lt;=C10,"N/A",'01_Vhodi'!$C$16+MAX(0,(C9-C6)/(C5*C12-C10)*12))</x:f>
        <x:v>14.762356873639476</x:v>
      </x:c>
      <x:c r="D21" s="188" t="n">
        <x:f>IF(D5*D12&lt;=D10,"N/A",'01_Vhodi'!$C$16+MAX(0,(D9-D6)/(D5*D12-D10)*12))</x:f>
        <x:v>6</x:v>
      </x:c>
      <x:c r="E21" s="120"/>
      <x:c r="F21" s="120"/>
      <x:c r="G21" s="120"/>
    </x:row>
  </x:sheetData>
  <x:mergeCells>
    <x:mergeCell ref="A1:F1"/>
    <x:mergeCell ref="A2:F2"/>
  </x:mergeCells>
  <x:pageMargins left="0.7" right="0.7" top="0.75" bottom="0.75" header="0.3" footer="0.3"/>
  <x:drawing xmlns:r="http://schemas.openxmlformats.org/officeDocument/2006/relationships" r:id="Rf1bef5c05fa24c66"/>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44" hidden="0" customWidth="1"/>
    <x:col min="4" max="4" width="42" hidden="0" customWidth="1"/>
    <x:col min="5" max="5" width="48" hidden="0" customWidth="1"/>
    <x:col min="6" max="6" width="25" hidden="0" customWidth="1"/>
  </x:cols>
  <x:sheetData>
    <x:row r="1" ht="34" customHeight="1">
      <x:c r="A1" s="151" t="str">
        <x:v>Knjižnica KPI-jev (27)</x:v>
      </x:c>
      <x:c r="B1" s="120"/>
      <x:c r="C1" s="120"/>
      <x:c r="D1" s="120"/>
      <x:c r="E1" s="120"/>
      <x:c r="F1" s="120"/>
    </x:row>
    <x:row r="2" ht="28" customHeight="1">
      <x:c r="A2" s="121" t="str">
        <x:v>Definicije in opozorila morajo ostati dosledni med podjetji in obdobji</x:v>
      </x:c>
      <x:c r="B2" s="120"/>
      <x:c r="C2" s="120"/>
      <x:c r="D2" s="120"/>
      <x:c r="E2" s="120"/>
      <x:c r="F2" s="120"/>
    </x:row>
    <x:row r="3">
      <x:c r="A3" s="120"/>
      <x:c r="B3" s="120"/>
      <x:c r="C3" s="120"/>
      <x:c r="D3" s="120"/>
      <x:c r="E3" s="120"/>
      <x:c r="F3" s="120"/>
    </x:row>
    <x:row r="4" ht="30" customHeight="1">
      <x:c r="A4" s="133" t="str">
        <x:v>Skupina</x:v>
      </x:c>
      <x:c r="B4" s="134" t="str">
        <x:v>KPI</x:v>
      </x:c>
      <x:c r="C4" s="134" t="str">
        <x:v>Formula</x:v>
      </x:c>
      <x:c r="D4" s="134" t="str">
        <x:v>Potrebni podatki</x:v>
      </x:c>
      <x:c r="E4" s="134" t="str">
        <x:v>Glavno opozorilo</x:v>
      </x:c>
      <x:c r="F4" s="135" t="str">
        <x:v>Predlagani lastnik</x:v>
      </x:c>
    </x:row>
    <x:row r="5">
      <x:c r="A5" s="136" t="str">
        <x:v>Prodaja in naročila</x:v>
      </x:c>
      <x:c r="B5" s="138" t="str">
        <x:v>digital order rate</x:v>
      </x:c>
      <x:c r="C5" s="136" t="str">
        <x:v>digitalne vrstice / vse vrstice</x:v>
      </x:c>
      <x:c r="D5" s="136" t="str">
        <x:v>kanal na vrstici</x:v>
      </x:c>
      <x:c r="E5" s="136" t="str">
        <x:v>e-pošta s PDF ni strukturiran tok</x:v>
      </x:c>
      <x:c r="F5" s="136" t="str">
        <x:v>Prodaja</x:v>
      </x:c>
    </x:row>
    <x:row r="6">
      <x:c r="A6" s="139" t="str">
        <x:v>Prodaja in naročila</x:v>
      </x:c>
      <x:c r="B6" s="141" t="str">
        <x:v>order entry time</x:v>
      </x:c>
      <x:c r="C6" s="139" t="str">
        <x:v>ure vnosa / naročila ali vrstice</x:v>
      </x:c>
      <x:c r="D6" s="139" t="str">
        <x:v>čas in obseg</x:v>
      </x:c>
      <x:c r="E6" s="139" t="str">
        <x:v>loči prvi vnos od podvojenega</x:v>
      </x:c>
      <x:c r="F6" s="139" t="str">
        <x:v>Prodaja</x:v>
      </x:c>
    </x:row>
    <x:row r="7">
      <x:c r="A7" s="139" t="str">
        <x:v>Prodaja in naročila</x:v>
      </x:c>
      <x:c r="B7" s="141" t="str">
        <x:v>order error rate</x:v>
      </x:c>
      <x:c r="C7" s="139" t="str">
        <x:v>popravljene vrstice / vse vrstice</x:v>
      </x:c>
      <x:c r="D7" s="139" t="str">
        <x:v>razlog popravka</x:v>
      </x:c>
      <x:c r="E7" s="139" t="str">
        <x:v>popravek pred potrditvijo ni nujno izguba</x:v>
      </x:c>
      <x:c r="F7" s="139" t="str">
        <x:v>Prodaja</x:v>
      </x:c>
    </x:row>
    <x:row r="8">
      <x:c r="A8" s="139" t="str">
        <x:v>Prodaja in naročila</x:v>
      </x:c>
      <x:c r="B8" s="141" t="str">
        <x:v>quote conversion</x:v>
      </x:c>
      <x:c r="C8" s="139" t="str">
        <x:v>dobljene ponudbe / zaključene ponudbe</x:v>
      </x:c>
      <x:c r="D8" s="139" t="str">
        <x:v>status in razlog</x:v>
      </x:c>
      <x:c r="E8" s="139" t="str">
        <x:v>ne monetiziraj brez vzroka</x:v>
      </x:c>
      <x:c r="F8" s="139" t="str">
        <x:v>Prodaja</x:v>
      </x:c>
    </x:row>
    <x:row r="9">
      <x:c r="A9" s="139" t="str">
        <x:v>Prodaja in naročila</x:v>
      </x:c>
      <x:c r="B9" s="141" t="str">
        <x:v>price override rate</x:v>
      </x:c>
      <x:c r="C9" s="139" t="str">
        <x:v>ročne spremembe cen / vrstice</x:v>
      </x:c>
      <x:c r="D9" s="139" t="str">
        <x:v>cena in uporabnik</x:v>
      </x:c>
      <x:c r="E9" s="139" t="str">
        <x:v>override je lahko upravičen</x:v>
      </x:c>
      <x:c r="F9" s="139" t="str">
        <x:v>Prodaja</x:v>
      </x:c>
    </x:row>
    <x:row r="10">
      <x:c r="A10" s="139" t="str">
        <x:v>Nabava</x:v>
      </x:c>
      <x:c r="B10" s="141" t="str">
        <x:v>supplier OTD</x:v>
      </x:c>
      <x:c r="C10" s="139" t="str">
        <x:v>pravočasne dobave / vse dobave</x:v>
      </x:c>
      <x:c r="D10" s="139" t="str">
        <x:v>zahtevani in dejanski datum</x:v>
      </x:c>
      <x:c r="E10" s="139" t="str">
        <x:v>definicija tolerance mora biti enaka</x:v>
      </x:c>
      <x:c r="F10" s="139" t="str">
        <x:v>Nabava</x:v>
      </x:c>
    </x:row>
    <x:row r="11">
      <x:c r="A11" s="139" t="str">
        <x:v>Nabava</x:v>
      </x:c>
      <x:c r="B11" s="141" t="str">
        <x:v>supplier OTIF</x:v>
      </x:c>
      <x:c r="C11" s="139" t="str">
        <x:v>pravočasne in popolne / vse</x:v>
      </x:c>
      <x:c r="D11" s="139" t="str">
        <x:v>datum in količina</x:v>
      </x:c>
      <x:c r="E11" s="139" t="str">
        <x:v>delna dobava ni popolna</x:v>
      </x:c>
      <x:c r="F11" s="139" t="str">
        <x:v>Nabava</x:v>
      </x:c>
    </x:row>
    <x:row r="12">
      <x:c r="A12" s="139" t="str">
        <x:v>Nabava</x:v>
      </x:c>
      <x:c r="B12" s="141" t="str">
        <x:v>purchase price variance</x:v>
      </x:c>
      <x:c r="C12" s="139" t="str">
        <x:v>dejanska - referenčna cena</x:v>
      </x:c>
      <x:c r="D12" s="139" t="str">
        <x:v>standard/pogodba in račun</x:v>
      </x:c>
      <x:c r="E12" s="139" t="str">
        <x:v>valuta in rabati</x:v>
      </x:c>
      <x:c r="F12" s="139" t="str">
        <x:v>Nabava</x:v>
      </x:c>
    </x:row>
    <x:row r="13">
      <x:c r="A13" s="139" t="str">
        <x:v>Nabava</x:v>
      </x:c>
      <x:c r="B13" s="141" t="str">
        <x:v>urgent PO rate</x:v>
      </x:c>
      <x:c r="C13" s="139" t="str">
        <x:v>nujna PO / vse PO</x:v>
      </x:c>
      <x:c r="D13" s="139" t="str">
        <x:v>razlog naročila</x:v>
      </x:c>
      <x:c r="E13" s="139" t="str">
        <x:v>sezonska nuja ni nujno napaka</x:v>
      </x:c>
      <x:c r="F13" s="139" t="str">
        <x:v>Nabava</x:v>
      </x:c>
    </x:row>
    <x:row r="14">
      <x:c r="A14" s="139" t="str">
        <x:v>Nabava</x:v>
      </x:c>
      <x:c r="B14" s="141" t="str">
        <x:v>lost discount</x:v>
      </x:c>
      <x:c r="C14" s="139" t="str">
        <x:v>upravičeni neizkoriščeni skonti</x:v>
      </x:c>
      <x:c r="D14" s="139" t="str">
        <x:v>pogoji in plačilo</x:v>
      </x:c>
      <x:c r="E14" s="139" t="str">
        <x:v>upoštevaj strošek zgodnejšega denarja</x:v>
      </x:c>
      <x:c r="F14" s="139" t="str">
        <x:v>Nabava</x:v>
      </x:c>
    </x:row>
    <x:row r="15">
      <x:c r="A15" s="139" t="str">
        <x:v>Zaloga in skladišče</x:v>
      </x:c>
      <x:c r="B15" s="141" t="str">
        <x:v>DIO</x:v>
      </x:c>
      <x:c r="C15" s="139" t="str">
        <x:v>povprečna zaloga / (COGS/365)</x:v>
      </x:c>
      <x:c r="D15" s="139" t="str">
        <x:v>zaloga in COGS</x:v>
      </x:c>
      <x:c r="E15" s="139" t="str">
        <x:v>vrednosti morajo biti na isti osnovi</x:v>
      </x:c>
      <x:c r="F15" s="139" t="str">
        <x:v>Skladišče / oskrbna veriga</x:v>
      </x:c>
    </x:row>
    <x:row r="16">
      <x:c r="A16" s="139" t="str">
        <x:v>Zaloga in skladišče</x:v>
      </x:c>
      <x:c r="B16" s="141" t="str">
        <x:v>inventory turns</x:v>
      </x:c>
      <x:c r="C16" s="139" t="str">
        <x:v>COGS / povprečna zaloga</x:v>
      </x:c>
      <x:c r="D16" s="139" t="str">
        <x:v>mesečna povprečja</x:v>
      </x:c>
      <x:c r="E16" s="139" t="str">
        <x:v>konec leta je lahko nereprezentativen</x:v>
      </x:c>
      <x:c r="F16" s="139" t="str">
        <x:v>Skladišče / oskrbna veriga</x:v>
      </x:c>
    </x:row>
    <x:row r="17">
      <x:c r="A17" s="139" t="str">
        <x:v>Zaloga in skladišče</x:v>
      </x:c>
      <x:c r="B17" s="141" t="str">
        <x:v>stock accuracy</x:v>
      </x:c>
      <x:c r="C17" s="139" t="str">
        <x:v>pravilne lokacije/SKU / preverjene</x:v>
      </x:c>
      <x:c r="D17" s="139" t="str">
        <x:v>ciklični popis</x:v>
      </x:c>
      <x:c r="E17" s="139" t="str">
        <x:v>količinska in lokacijska natančnost ločeno</x:v>
      </x:c>
      <x:c r="F17" s="139" t="str">
        <x:v>Skladišče / oskrbna veriga</x:v>
      </x:c>
    </x:row>
    <x:row r="18">
      <x:c r="A18" s="139" t="str">
        <x:v>Zaloga in skladišče</x:v>
      </x:c>
      <x:c r="B18" s="141" t="str">
        <x:v>aged stock share</x:v>
      </x:c>
      <x:c r="C18" s="139" t="str">
        <x:v>stara zaloga / vsa zaloga</x:v>
      </x:c>
      <x:c r="D18" s="139" t="str">
        <x:v>zadnja prodaja in vrednost</x:v>
      </x:c>
      <x:c r="E18" s="139" t="str">
        <x:v>prag prilagodi segmentu</x:v>
      </x:c>
      <x:c r="F18" s="139" t="str">
        <x:v>Skladišče / oskrbna veriga</x:v>
      </x:c>
    </x:row>
    <x:row r="19">
      <x:c r="A19" s="139" t="str">
        <x:v>Zaloga in skladišče</x:v>
      </x:c>
      <x:c r="B19" s="141" t="str">
        <x:v>pick productivity</x:v>
      </x:c>
      <x:c r="C19" s="139" t="str">
        <x:v>vrstice / delovne ure</x:v>
      </x:c>
      <x:c r="D19" s="139" t="str">
        <x:v>potrjene vrstice in neposredni čas</x:v>
      </x:c>
      <x:c r="E19" s="139" t="str">
        <x:v>kompleksnost vrstic se razlikuje</x:v>
      </x:c>
      <x:c r="F19" s="139" t="str">
        <x:v>Skladišče / oskrbna veriga</x:v>
      </x:c>
    </x:row>
    <x:row r="20">
      <x:c r="A20" s="139" t="str">
        <x:v>Zaloga in skladišče</x:v>
      </x:c>
      <x:c r="B20" s="141" t="str">
        <x:v>pick accuracy</x:v>
      </x:c>
      <x:c r="C20" s="139" t="str">
        <x:v>pravilne vrstice / vse</x:v>
      </x:c>
      <x:c r="D20" s="139" t="str">
        <x:v>kontrola in reklamacije</x:v>
      </x:c>
      <x:c r="E20" s="139" t="str">
        <x:v>zajemi tudi napake odkrite pred odpremo</x:v>
      </x:c>
      <x:c r="F20" s="139" t="str">
        <x:v>Skladišče / oskrbna veriga</x:v>
      </x:c>
    </x:row>
    <x:row r="21">
      <x:c r="A21" s="139" t="str">
        <x:v>Storitev in logistika</x:v>
      </x:c>
      <x:c r="B21" s="141" t="str">
        <x:v>line fill rate</x:v>
      </x:c>
      <x:c r="C21" s="139" t="str">
        <x:v>takoj izpolnjene vrstice / vse</x:v>
      </x:c>
      <x:c r="D21" s="139" t="str">
        <x:v>zahtevana in dobavljena količina</x:v>
      </x:c>
      <x:c r="E21" s="139" t="str">
        <x:v>backorder ni takojšnja izpolnitev</x:v>
      </x:c>
      <x:c r="F21" s="139" t="str">
        <x:v>Logistika / prodaja</x:v>
      </x:c>
    </x:row>
    <x:row r="22">
      <x:c r="A22" s="139" t="str">
        <x:v>Storitev in logistika</x:v>
      </x:c>
      <x:c r="B22" s="141" t="str">
        <x:v>OTIF</x:v>
      </x:c>
      <x:c r="C22" s="139" t="str">
        <x:v>pravočasne in popolne dobave / vse</x:v>
      </x:c>
      <x:c r="D22" s="139" t="str">
        <x:v>zahtevan datum in količina</x:v>
      </x:c>
      <x:c r="E22" s="139" t="str">
        <x:v>loči ship in delivery</x:v>
      </x:c>
      <x:c r="F22" s="139" t="str">
        <x:v>Logistika / prodaja</x:v>
      </x:c>
    </x:row>
    <x:row r="23">
      <x:c r="A23" s="139" t="str">
        <x:v>Storitev in logistika</x:v>
      </x:c>
      <x:c r="B23" s="141" t="str">
        <x:v>perfect order</x:v>
      </x:c>
      <x:c r="C23" s="139" t="str">
        <x:v>naročila brez katerekoli napake / vsa</x:v>
      </x:c>
      <x:c r="D23" s="139" t="str">
        <x:v>čas, količina, poškodba, dokument</x:v>
      </x:c>
      <x:c r="E23" s="139" t="str">
        <x:v>ne uporabljaj povprečja komponent</x:v>
      </x:c>
      <x:c r="F23" s="139" t="str">
        <x:v>Logistika / prodaja</x:v>
      </x:c>
    </x:row>
    <x:row r="24">
      <x:c r="A24" s="139" t="str">
        <x:v>Storitev in logistika</x:v>
      </x:c>
      <x:c r="B24" s="141" t="str">
        <x:v>transport per order</x:v>
      </x:c>
      <x:c r="C24" s="139" t="str">
        <x:v>neto transport / naročila</x:v>
      </x:c>
      <x:c r="D24" s="139" t="str">
        <x:v>računi prevoznika in zaračunano kupcu</x:v>
      </x:c>
      <x:c r="E24" s="139" t="str">
        <x:v>loči paket, paleto in lastno dostavo</x:v>
      </x:c>
      <x:c r="F24" s="139" t="str">
        <x:v>Logistika / prodaja</x:v>
      </x:c>
    </x:row>
    <x:row r="25">
      <x:c r="A25" s="139" t="str">
        <x:v>Storitev in logistika</x:v>
      </x:c>
      <x:c r="B25" s="141" t="str">
        <x:v>return rate</x:v>
      </x:c>
      <x:c r="C25" s="139" t="str">
        <x:v>vrnjene enote ali vrednost / prodaja</x:v>
      </x:c>
      <x:c r="D25" s="139" t="str">
        <x:v>razlog in vrednost</x:v>
      </x:c>
      <x:c r="E25" s="139" t="str">
        <x:v>več imenovalcev za različne namene</x:v>
      </x:c>
      <x:c r="F25" s="139" t="str">
        <x:v>Logistika / prodaja</x:v>
      </x:c>
    </x:row>
    <x:row r="26">
      <x:c r="A26" s="139" t="str">
        <x:v>Finance</x:v>
      </x:c>
      <x:c r="B26" s="141" t="str">
        <x:v>DSO</x:v>
      </x:c>
      <x:c r="C26" s="139" t="str">
        <x:v>povprečne terjatve / kreditna prodaja × 365</x:v>
      </x:c>
      <x:c r="D26" s="139" t="str">
        <x:v>kreditna prodaja</x:v>
      </x:c>
      <x:c r="E26" s="139" t="str">
        <x:v>celotni prihodek lahko preceni imenovalec</x:v>
      </x:c>
      <x:c r="F26" s="139" t="str">
        <x:v>Finance</x:v>
      </x:c>
    </x:row>
    <x:row r="27">
      <x:c r="A27" s="139" t="str">
        <x:v>Finance</x:v>
      </x:c>
      <x:c r="B27" s="141" t="str">
        <x:v>DPO</x:v>
      </x:c>
      <x:c r="C27" s="139" t="str">
        <x:v>povprečne obveznosti / kreditna nabava × 365</x:v>
      </x:c>
      <x:c r="D27" s="139" t="str">
        <x:v>kreditna nabava</x:v>
      </x:c>
      <x:c r="E27" s="139" t="str">
        <x:v>dosledna osnova</x:v>
      </x:c>
      <x:c r="F27" s="139" t="str">
        <x:v>Finance</x:v>
      </x:c>
    </x:row>
    <x:row r="28">
      <x:c r="A28" s="139" t="str">
        <x:v>Finance</x:v>
      </x:c>
      <x:c r="B28" s="141" t="str">
        <x:v>CCC</x:v>
      </x:c>
      <x:c r="C28" s="139" t="str">
        <x:v>DIO + DSO - DPO</x:v>
      </x:c>
      <x:c r="D28" s="139" t="str">
        <x:v>trije dnevi</x:v>
      </x:c>
      <x:c r="E28" s="139" t="str">
        <x:v>ni neposredni strošek</x:v>
      </x:c>
      <x:c r="F28" s="139" t="str">
        <x:v>Finance</x:v>
      </x:c>
    </x:row>
    <x:row r="29">
      <x:c r="A29" s="139" t="str">
        <x:v>Finance</x:v>
      </x:c>
      <x:c r="B29" s="141" t="str">
        <x:v>bad debt rate</x:v>
      </x:c>
      <x:c r="C29" s="139" t="str">
        <x:v>odpisi / kreditna prodaja</x:v>
      </x:c>
      <x:c r="D29" s="139" t="str">
        <x:v>odpisi</x:v>
      </x:c>
      <x:c r="E29" s="139" t="str">
        <x:v>loči DDV in povračila</x:v>
      </x:c>
      <x:c r="F29" s="139" t="str">
        <x:v>Finance</x:v>
      </x:c>
    </x:row>
    <x:row r="30">
      <x:c r="A30" s="139" t="str">
        <x:v>Finance</x:v>
      </x:c>
      <x:c r="B30" s="141" t="str">
        <x:v>gross margin</x:v>
      </x:c>
      <x:c r="C30" s="139" t="str">
        <x:v>(prihodek - COGS) / prihodek</x:v>
      </x:c>
      <x:c r="D30" s="139" t="str">
        <x:v>prihodek, COGS</x:v>
      </x:c>
      <x:c r="E30" s="139" t="str">
        <x:v>ni enako prispevni marži</x:v>
      </x:c>
      <x:c r="F30" s="139" t="str">
        <x:v>Finance</x:v>
      </x:c>
    </x:row>
    <x:row r="31">
      <x:c r="A31" s="145" t="str">
        <x:v>Finance</x:v>
      </x:c>
      <x:c r="B31" s="144" t="str">
        <x:v>net contribution</x:v>
      </x:c>
      <x:c r="C31" s="145" t="str">
        <x:v>marža - cost-to-serve</x:v>
      </x:c>
      <x:c r="D31" s="145" t="str">
        <x:v>stroški po aktivnosti</x:v>
      </x:c>
      <x:c r="E31" s="145" t="str">
        <x:v>ne uporabljaj navidezne natančnosti brez podatkov</x:v>
      </x:c>
      <x:c r="F31" s="145" t="str">
        <x:v>Finance</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5" hidden="0" customWidth="1"/>
    <x:col min="3" max="3" width="54" hidden="0" customWidth="1"/>
    <x:col min="4" max="4" width="45" hidden="0" customWidth="1"/>
    <x:col min="5" max="5" width="56" hidden="0" customWidth="1"/>
    <x:col min="6" max="6" width="18" hidden="0" customWidth="1"/>
  </x:cols>
  <x:sheetData>
    <x:row r="1" ht="34" customHeight="1">
      <x:c r="A1" s="151" t="str">
        <x:v>Preslikava potreb na ekosistem Datalaba</x:v>
      </x:c>
      <x:c r="B1" s="120"/>
      <x:c r="C1" s="120"/>
      <x:c r="D1" s="120"/>
      <x:c r="E1" s="120"/>
      <x:c r="F1" s="120"/>
    </x:row>
    <x:row r="2" ht="28" customHeight="1">
      <x:c r="A2" s="121" t="str">
        <x:v>Preslikava je hipoteza za discovery; funkcionalnost, licenca, obseg in učinek se morajo preveriti</x:v>
      </x:c>
      <x:c r="B2" s="120"/>
      <x:c r="C2" s="120"/>
      <x:c r="D2" s="120"/>
      <x:c r="E2" s="120"/>
      <x:c r="F2" s="120"/>
    </x:row>
    <x:row r="3">
      <x:c r="A3" s="120"/>
      <x:c r="B3" s="120"/>
      <x:c r="C3" s="120"/>
      <x:c r="D3" s="120"/>
      <x:c r="E3" s="120"/>
      <x:c r="F3" s="120"/>
    </x:row>
    <x:row r="4" ht="30" customHeight="1">
      <x:c r="A4" s="133" t="str">
        <x:v>Izmerjena potreba</x:v>
      </x:c>
      <x:c r="B4" s="134" t="str">
        <x:v>Možna zmožnost/rešitev</x:v>
      </x:c>
      <x:c r="C4" s="134" t="str">
        <x:v>Dokaz, ki ga je treba pridobiti</x:v>
      </x:c>
      <x:c r="D4" s="134" t="str">
        <x:v>Predpogoj</x:v>
      </x:c>
      <x:c r="E4" s="134" t="str">
        <x:v>Kaj se ne sme avtomatično obljubiti</x:v>
      </x:c>
      <x:c r="F4" s="135" t="str">
        <x:v>Status preverjanja</x:v>
      </x:c>
    </x:row>
    <x:row r="5">
      <x:c r="A5" s="136" t="str">
        <x:v>strukturirano B2B naročanje</x:v>
      </x:c>
      <x:c r="B5" s="136" t="str">
        <x:v>Granula B2B, EDI, API</x:v>
      </x:c>
      <x:c r="C5" s="136" t="str">
        <x:v>delež kupcev in vrstic, pripravljenih za kanal</x:v>
      </x:c>
      <x:c r="D5" s="136" t="str">
        <x:v>Preveri podatke, proces, integracije in uporabo</x:v>
      </x:c>
      <x:c r="E5" s="136" t="str">
        <x:v>ERP sam ne zagotovi rezultata brez spremembe procesa in dokazljive realizacije</x:v>
      </x:c>
      <x:c r="F5" s="147" t="str">
        <x:v>Ni preverjeno</x:v>
      </x:c>
    </x:row>
    <x:row r="6">
      <x:c r="A6" s="139" t="str">
        <x:v>spletna naročila brez prepisa</x:v>
      </x:c>
      <x:c r="B6" s="139" t="str">
        <x:v>PanStore/API</x:v>
      </x:c>
      <x:c r="C6" s="139" t="str">
        <x:v>platforma, kompleksnost cen in zalog</x:v>
      </x:c>
      <x:c r="D6" s="139" t="str">
        <x:v>Preveri podatke, proces, integracije in uporabo</x:v>
      </x:c>
      <x:c r="E6" s="139" t="str">
        <x:v>ERP sam ne zagotovi rezultata brez spremembe procesa in dokazljive realizacije</x:v>
      </x:c>
      <x:c r="F6" s="171" t="str">
        <x:v>Ni preverjeno</x:v>
      </x:c>
    </x:row>
    <x:row r="7">
      <x:c r="A7" s="139" t="str">
        <x:v>skladiščne lokacije in skeniranje</x:v>
      </x:c>
      <x:c r="B7" s="139" t="str">
        <x:v>PANTHEON skladišče, PanScan</x:v>
      </x:c>
      <x:c r="C7" s="139" t="str">
        <x:v>lokacijski model, naprave, Wi-Fi, proces</x:v>
      </x:c>
      <x:c r="D7" s="139" t="str">
        <x:v>Preveri podatke, proces, integracije in uporabo</x:v>
      </x:c>
      <x:c r="E7" s="139" t="str">
        <x:v>ERP sam ne zagotovi rezultata brez spremembe procesa in dokazljive realizacije</x:v>
      </x:c>
      <x:c r="F7" s="171" t="str">
        <x:v>Ni preverjeno</x:v>
      </x:c>
    </x:row>
    <x:row r="8">
      <x:c r="A8" s="139" t="str">
        <x:v>hitrejša inventura</x:v>
      </x:c>
      <x:c r="B8" s="139" t="str">
        <x:v>Granula Inventura skladišč</x:v>
      </x:c>
      <x:c r="C8" s="139" t="str">
        <x:v>trenutne ure, frekvenca, število SKU/lokacij</x:v>
      </x:c>
      <x:c r="D8" s="139" t="str">
        <x:v>Preveri podatke, proces, integracije in uporabo</x:v>
      </x:c>
      <x:c r="E8" s="139" t="str">
        <x:v>ERP sam ne zagotovi rezultata brez spremembe procesa in dokazljive realizacije</x:v>
      </x:c>
      <x:c r="F8" s="171" t="str">
        <x:v>Ni preverjeno</x:v>
      </x:c>
    </x:row>
    <x:row r="9">
      <x:c r="A9" s="139" t="str">
        <x:v>serije, loti in roki</x:v>
      </x:c>
      <x:c r="B9" s="139" t="str">
        <x:v>PANTHEON sledljivost</x:v>
      </x:c>
      <x:c r="C9" s="139" t="str">
        <x:v>stopnja zajema in regulatorne zahteve</x:v>
      </x:c>
      <x:c r="D9" s="139" t="str">
        <x:v>Preveri podatke, proces, integracije in uporabo</x:v>
      </x:c>
      <x:c r="E9" s="139" t="str">
        <x:v>ERP sam ne zagotovi rezultata brez spremembe procesa in dokazljive realizacije</x:v>
      </x:c>
      <x:c r="F9" s="171" t="str">
        <x:v>Ni preverjeno</x:v>
      </x:c>
    </x:row>
    <x:row r="10">
      <x:c r="A10" s="139" t="str">
        <x:v>nalepke in prevozniki</x:v>
      </x:c>
      <x:c r="B10" s="139" t="str">
        <x:v>PanDistro ali druga integracija</x:v>
      </x:c>
      <x:c r="C10" s="139" t="str">
        <x:v>prevozniki, pošiljke, doplačila in izjeme</x:v>
      </x:c>
      <x:c r="D10" s="139" t="str">
        <x:v>Preveri podatke, proces, integracije in uporabo</x:v>
      </x:c>
      <x:c r="E10" s="139" t="str">
        <x:v>ERP sam ne zagotovi rezultata brez spremembe procesa in dokazljive realizacije</x:v>
      </x:c>
      <x:c r="F10" s="171" t="str">
        <x:v>Ni preverjeno</x:v>
      </x:c>
    </x:row>
    <x:row r="11">
      <x:c r="A11" s="139" t="str">
        <x:v>dokumenti, OCR in odobritve</x:v>
      </x:c>
      <x:c r="B11" s="139" t="str">
        <x:v>DMS, eKnjižbe, eProcesi</x:v>
      </x:c>
      <x:c r="C11" s="139" t="str">
        <x:v>dokumenti/mesec, ročni delež, cikel</x:v>
      </x:c>
      <x:c r="D11" s="139" t="str">
        <x:v>Preveri podatke, proces, integracije in uporabo</x:v>
      </x:c>
      <x:c r="E11" s="139" t="str">
        <x:v>ERP sam ne zagotovi rezultata brez spremembe procesa in dokazljive realizacije</x:v>
      </x:c>
      <x:c r="F11" s="171" t="str">
        <x:v>Ni preverjeno</x:v>
      </x:c>
    </x:row>
    <x:row r="12">
      <x:c r="A12" s="139" t="str">
        <x:v>e-računi in e-dokumenti</x:v>
      </x:c>
      <x:c r="B12" s="139" t="str">
        <x:v>eIzmenjava/eRačun</x:v>
      </x:c>
      <x:c r="C12" s="139" t="str">
        <x:v>partnerji, formati in 2028 pripravljenost</x:v>
      </x:c>
      <x:c r="D12" s="139" t="str">
        <x:v>Preveri podatke, proces, integracije in uporabo</x:v>
      </x:c>
      <x:c r="E12" s="139" t="str">
        <x:v>ERP sam ne zagotovi rezultata brez spremembe procesa in dokazljive realizacije</x:v>
      </x:c>
      <x:c r="F12" s="171" t="str">
        <x:v>Ni preverjeno</x:v>
      </x:c>
    </x:row>
    <x:row r="13">
      <x:c r="A13" s="139" t="str">
        <x:v>terjatve in opomini</x:v>
      </x:c>
      <x:c r="B13" s="139" t="str">
        <x:v>saldakonti, eSporočanje, nadzorne plošče</x:v>
      </x:c>
      <x:c r="C13" s="139" t="str">
        <x:v>DSO, opomini, razlogi zamud</x:v>
      </x:c>
      <x:c r="D13" s="139" t="str">
        <x:v>Preveri podatke, proces, integracije in uporabo</x:v>
      </x:c>
      <x:c r="E13" s="139" t="str">
        <x:v>ERP sam ne zagotovi rezultata brez spremembe procesa in dokazljive realizacije</x:v>
      </x:c>
      <x:c r="F13" s="171" t="str">
        <x:v>Ni preverjeno</x:v>
      </x:c>
    </x:row>
    <x:row r="14">
      <x:c r="A14" s="139" t="str">
        <x:v>marža in upravljanje</x:v>
      </x:c>
      <x:c r="B14" s="139" t="str">
        <x:v>Nadzorne plošče, APOLON, Lotus BI</x:v>
      </x:c>
      <x:c r="C14" s="139" t="str">
        <x:v>definicija marže, podatkovna kakovost</x:v>
      </x:c>
      <x:c r="D14" s="139" t="str">
        <x:v>Preveri podatke, proces, integracije in uporabo</x:v>
      </x:c>
      <x:c r="E14" s="139" t="str">
        <x:v>ERP sam ne zagotovi rezultata brez spremembe procesa in dokazljive realizacije</x:v>
      </x:c>
      <x:c r="F14" s="171" t="str">
        <x:v>Ni preverjeno</x:v>
      </x:c>
    </x:row>
    <x:row r="15">
      <x:c r="A15" s="139" t="str">
        <x:v>servis in terensko delo</x:v>
      </x:c>
      <x:c r="B15" s="139" t="str">
        <x:v>Servis, Granula Servis na terenu</x:v>
      </x:c>
      <x:c r="C15" s="139" t="str">
        <x:v>nalogi, tehniki, materiali, first-time-fix</x:v>
      </x:c>
      <x:c r="D15" s="139" t="str">
        <x:v>Preveri podatke, proces, integracije in uporabo</x:v>
      </x:c>
      <x:c r="E15" s="139" t="str">
        <x:v>ERP sam ne zagotovi rezultata brez spremembe procesa in dokazljive realizacije</x:v>
      </x:c>
      <x:c r="F15" s="171" t="str">
        <x:v>Ni preverjeno</x:v>
      </x:c>
    </x:row>
    <x:row r="16">
      <x:c r="A16" s="145" t="str">
        <x:v>kadri in čas</x:v>
      </x:c>
      <x:c r="B16" s="145" t="str">
        <x:v>Kadri, Granula Kadri</x:v>
      </x:c>
      <x:c r="C16" s="145" t="str">
        <x:v>zaposleni, evidence, odobritve, obračun</x:v>
      </x:c>
      <x:c r="D16" s="145" t="str">
        <x:v>Preveri podatke, proces, integracije in uporabo</x:v>
      </x:c>
      <x:c r="E16" s="145" t="str">
        <x:v>ERP sam ne zagotovi rezultata brez spremembe procesa in dokazljive realizacije</x:v>
      </x:c>
      <x:c r="F16" s="175" t="str">
        <x:v>Ni preverjeno</x:v>
      </x:c>
    </x:row>
  </x:sheetData>
  <x:mergeCells>
    <x:mergeCell ref="A1:F1"/>
    <x:mergeCell ref="A2:F2"/>
  </x:mergeCells>
  <x:dataValidations count="1">
    <x:dataValidation type="list" sqref="F5:F16">
      <x:formula1>"Ni preverjeno,V preverjanju,Potrjeno,Ni relevantno"</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5" hidden="0" customWidth="1"/>
    <x:col min="3" max="3" width="22" hidden="0" customWidth="1"/>
    <x:col min="4" max="4" width="22" hidden="0" customWidth="1"/>
    <x:col min="5" max="5" width="18" hidden="0" customWidth="1"/>
    <x:col min="6" max="6" width="26" hidden="0" customWidth="1"/>
    <x:col min="7" max="7" width="34" hidden="0" customWidth="1"/>
    <x:col min="8" max="8" width="19" hidden="0" customWidth="1"/>
    <x:col min="9" max="9" width="54" hidden="0" customWidth="1"/>
  </x:cols>
  <x:sheetData>
    <x:row r="1" ht="34" customHeight="1">
      <x:c r="A1" s="151" t="str">
        <x:v>Podatkovni slovar za implementacijo</x:v>
      </x:c>
      <x:c r="B1" s="120"/>
      <x:c r="C1" s="120"/>
      <x:c r="D1" s="120"/>
      <x:c r="E1" s="120"/>
      <x:c r="F1" s="120"/>
      <x:c r="G1" s="120"/>
      <x:c r="H1" s="120"/>
      <x:c r="I1" s="120"/>
    </x:row>
    <x:row r="2" ht="28" customHeight="1">
      <x:c r="A2" s="121" t="str">
        <x:v>Osnovna raziskovalna polja so razširjena z validacijo, zanesljivostjo in predlaganim virom</x:v>
      </x:c>
      <x:c r="B2" s="120"/>
      <x:c r="C2" s="120"/>
      <x:c r="D2" s="120"/>
      <x:c r="E2" s="120"/>
      <x:c r="F2" s="120"/>
      <x:c r="G2" s="120"/>
      <x:c r="H2" s="120"/>
      <x:c r="I2" s="120"/>
    </x:row>
    <x:row r="3">
      <x:c r="A3" s="120"/>
      <x:c r="B3" s="120"/>
      <x:c r="C3" s="120"/>
      <x:c r="D3" s="120"/>
      <x:c r="E3" s="120"/>
      <x:c r="F3" s="120"/>
      <x:c r="G3" s="120"/>
      <x:c r="H3" s="120"/>
      <x:c r="I3" s="120"/>
    </x:row>
    <x:row r="4" ht="30" customHeight="1">
      <x:c r="A4" s="133" t="str">
        <x:v>Polje</x:v>
      </x:c>
      <x:c r="B4" s="134" t="str">
        <x:v>Tip</x:v>
      </x:c>
      <x:c r="C4" s="134" t="str">
        <x:v>Enota</x:v>
      </x:c>
      <x:c r="D4" s="134" t="str">
        <x:v>Obdobje</x:v>
      </x:c>
      <x:c r="E4" s="134" t="str">
        <x:v>Obvezno</x:v>
      </x:c>
      <x:c r="F4" s="134" t="str">
        <x:v>Izvor</x:v>
      </x:c>
      <x:c r="G4" s="134" t="str">
        <x:v>Validacija</x:v>
      </x:c>
      <x:c r="H4" s="134" t="str">
        <x:v>Razred kakovosti</x:v>
      </x:c>
      <x:c r="I4" s="135" t="str">
        <x:v>Opomba za implementacijo</x:v>
      </x:c>
    </x:row>
    <x:row r="5">
      <x:c r="A5" s="138" t="str">
        <x:v>revenue_total</x:v>
      </x:c>
      <x:c r="B5" s="136" t="str">
        <x:v>decimal</x:v>
      </x:c>
      <x:c r="C5" s="136" t="str">
        <x:v>EUR</x:v>
      </x:c>
      <x:c r="D5" s="136" t="str">
        <x:v>12 mesecev</x:v>
      </x:c>
      <x:c r="E5" s="136" t="str">
        <x:v>da</x:v>
      </x:c>
      <x:c r="F5" s="136" t="str">
        <x:v>izkaz/ERP</x:v>
      </x:c>
      <x:c r="G5" s="136" t="str">
        <x:v>Glede na tip in poslovno logiko</x:v>
      </x:c>
      <x:c r="H5" s="136" t="str">
        <x:v>A–D</x:v>
      </x:c>
      <x:c r="I5" s="136" t="str">
        <x:v>Vir mora biti sledljiv do polja ali evidence</x:v>
      </x:c>
    </x:row>
    <x:row r="6">
      <x:c r="A6" s="141" t="str">
        <x:v>credit_sales</x:v>
      </x:c>
      <x:c r="B6" s="139" t="str">
        <x:v>decimal</x:v>
      </x:c>
      <x:c r="C6" s="139" t="str">
        <x:v>EUR</x:v>
      </x:c>
      <x:c r="D6" s="139" t="str">
        <x:v>12 mesecev</x:v>
      </x:c>
      <x:c r="E6" s="139" t="str">
        <x:v>za DSO</x:v>
      </x:c>
      <x:c r="F6" s="139" t="str">
        <x:v>ERP</x:v>
      </x:c>
      <x:c r="G6" s="139" t="str">
        <x:v>Glede na tip in poslovno logiko</x:v>
      </x:c>
      <x:c r="H6" s="139" t="str">
        <x:v>A–D</x:v>
      </x:c>
      <x:c r="I6" s="139" t="str">
        <x:v>Vir mora biti sledljiv do polja ali evidence</x:v>
      </x:c>
    </x:row>
    <x:row r="7">
      <x:c r="A7" s="141" t="str">
        <x:v>cogs</x:v>
      </x:c>
      <x:c r="B7" s="139" t="str">
        <x:v>decimal</x:v>
      </x:c>
      <x:c r="C7" s="139" t="str">
        <x:v>EUR</x:v>
      </x:c>
      <x:c r="D7" s="139" t="str">
        <x:v>12 mesecev</x:v>
      </x:c>
      <x:c r="E7" s="139" t="str">
        <x:v>za DIO</x:v>
      </x:c>
      <x:c r="F7" s="139" t="str">
        <x:v>glavna knjiga</x:v>
      </x:c>
      <x:c r="G7" s="139" t="str">
        <x:v>Glede na tip in poslovno logiko</x:v>
      </x:c>
      <x:c r="H7" s="139" t="str">
        <x:v>A–D</x:v>
      </x:c>
      <x:c r="I7" s="139" t="str">
        <x:v>Vir mora biti sledljiv do polja ali evidence</x:v>
      </x:c>
    </x:row>
    <x:row r="8">
      <x:c r="A8" s="141" t="str">
        <x:v>avg_inventory</x:v>
      </x:c>
      <x:c r="B8" s="139" t="str">
        <x:v>decimal</x:v>
      </x:c>
      <x:c r="C8" s="139" t="str">
        <x:v>EUR nabavne vrednosti</x:v>
      </x:c>
      <x:c r="D8" s="139" t="str">
        <x:v>12-mesečno povprečje</x:v>
      </x:c>
      <x:c r="E8" s="139" t="str">
        <x:v>za zalogo</x:v>
      </x:c>
      <x:c r="F8" s="139" t="str">
        <x:v>mesečna stanja</x:v>
      </x:c>
      <x:c r="G8" s="139" t="str">
        <x:v>Glede na tip in poslovno logiko</x:v>
      </x:c>
      <x:c r="H8" s="139" t="str">
        <x:v>A–D</x:v>
      </x:c>
      <x:c r="I8" s="139" t="str">
        <x:v>Vir mora biti sledljiv do polja ali evidence</x:v>
      </x:c>
    </x:row>
    <x:row r="9">
      <x:c r="A9" s="141" t="str">
        <x:v>avg_receivables</x:v>
      </x:c>
      <x:c r="B9" s="139" t="str">
        <x:v>decimal</x:v>
      </x:c>
      <x:c r="C9" s="139" t="str">
        <x:v>EUR</x:v>
      </x:c>
      <x:c r="D9" s="139" t="str">
        <x:v>12-mesečno povprečje</x:v>
      </x:c>
      <x:c r="E9" s="139" t="str">
        <x:v>za DSO</x:v>
      </x:c>
      <x:c r="F9" s="139" t="str">
        <x:v>saldakonti</x:v>
      </x:c>
      <x:c r="G9" s="139" t="str">
        <x:v>Glede na tip in poslovno logiko</x:v>
      </x:c>
      <x:c r="H9" s="139" t="str">
        <x:v>A–D</x:v>
      </x:c>
      <x:c r="I9" s="139" t="str">
        <x:v>Vir mora biti sledljiv do polja ali evidence</x:v>
      </x:c>
    </x:row>
    <x:row r="10">
      <x:c r="A10" s="141" t="str">
        <x:v>contribution_margin</x:v>
      </x:c>
      <x:c r="B10" s="139" t="str">
        <x:v>decimal</x:v>
      </x:c>
      <x:c r="C10" s="139" t="str">
        <x:v>%</x:v>
      </x:c>
      <x:c r="D10" s="139" t="str">
        <x:v>12 mesecev</x:v>
      </x:c>
      <x:c r="E10" s="139" t="str">
        <x:v>priporočeno</x:v>
      </x:c>
      <x:c r="F10" s="139" t="str">
        <x:v>kontroling</x:v>
      </x:c>
      <x:c r="G10" s="139" t="str">
        <x:v>Glede na tip in poslovno logiko</x:v>
      </x:c>
      <x:c r="H10" s="139" t="str">
        <x:v>A–D</x:v>
      </x:c>
      <x:c r="I10" s="139" t="str">
        <x:v>Vir mora biti sledljiv do polja ali evidence</x:v>
      </x:c>
    </x:row>
    <x:row r="11">
      <x:c r="A11" s="141" t="str">
        <x:v>financing_rate</x:v>
      </x:c>
      <x:c r="B11" s="139" t="str">
        <x:v>decimal</x:v>
      </x:c>
      <x:c r="C11" s="139" t="str">
        <x:v>% letno</x:v>
      </x:c>
      <x:c r="D11" s="139" t="str">
        <x:v>aktualno</x:v>
      </x:c>
      <x:c r="E11" s="139" t="str">
        <x:v>za kapital</x:v>
      </x:c>
      <x:c r="F11" s="139" t="str">
        <x:v>pogodba/finance</x:v>
      </x:c>
      <x:c r="G11" s="139" t="str">
        <x:v>Glede na tip in poslovno logiko</x:v>
      </x:c>
      <x:c r="H11" s="139" t="str">
        <x:v>A–D</x:v>
      </x:c>
      <x:c r="I11" s="139" t="str">
        <x:v>Vir mora biti sledljiv do polja ali evidence</x:v>
      </x:c>
    </x:row>
    <x:row r="12">
      <x:c r="A12" s="141" t="str">
        <x:v>sales_order_lines</x:v>
      </x:c>
      <x:c r="B12" s="139" t="str">
        <x:v>integer</x:v>
      </x:c>
      <x:c r="C12" s="139" t="str">
        <x:v>vrstice/mesec</x:v>
      </x:c>
      <x:c r="D12" s="139" t="str">
        <x:v>tipični mesec</x:v>
      </x:c>
      <x:c r="E12" s="139" t="str">
        <x:v>da</x:v>
      </x:c>
      <x:c r="F12" s="139" t="str">
        <x:v>ERP</x:v>
      </x:c>
      <x:c r="G12" s="139" t="str">
        <x:v>Glede na tip in poslovno logiko</x:v>
      </x:c>
      <x:c r="H12" s="139" t="str">
        <x:v>A–D</x:v>
      </x:c>
      <x:c r="I12" s="139" t="str">
        <x:v>Vir mora biti sledljiv do polja ali evidence</x:v>
      </x:c>
    </x:row>
    <x:row r="13">
      <x:c r="A13" s="141" t="str">
        <x:v>purchase_order_lines</x:v>
      </x:c>
      <x:c r="B13" s="139" t="str">
        <x:v>integer</x:v>
      </x:c>
      <x:c r="C13" s="139" t="str">
        <x:v>vrstice/mesec</x:v>
      </x:c>
      <x:c r="D13" s="139" t="str">
        <x:v>tipični mesec</x:v>
      </x:c>
      <x:c r="E13" s="139" t="str">
        <x:v>za nabavo</x:v>
      </x:c>
      <x:c r="F13" s="139" t="str">
        <x:v>ERP</x:v>
      </x:c>
      <x:c r="G13" s="139" t="str">
        <x:v>Glede na tip in poslovno logiko</x:v>
      </x:c>
      <x:c r="H13" s="139" t="str">
        <x:v>A–D</x:v>
      </x:c>
      <x:c r="I13" s="139" t="str">
        <x:v>Vir mora biti sledljiv do polja ali evidence</x:v>
      </x:c>
    </x:row>
    <x:row r="14">
      <x:c r="A14" s="141" t="str">
        <x:v>shipments</x:v>
      </x:c>
      <x:c r="B14" s="139" t="str">
        <x:v>integer</x:v>
      </x:c>
      <x:c r="C14" s="139" t="str">
        <x:v>pošiljke/mesec</x:v>
      </x:c>
      <x:c r="D14" s="139" t="str">
        <x:v>tipični mesec</x:v>
      </x:c>
      <x:c r="E14" s="139" t="str">
        <x:v>za logistiko</x:v>
      </x:c>
      <x:c r="F14" s="139" t="str">
        <x:v>ERP/TMS</x:v>
      </x:c>
      <x:c r="G14" s="139" t="str">
        <x:v>Glede na tip in poslovno logiko</x:v>
      </x:c>
      <x:c r="H14" s="139" t="str">
        <x:v>A–D</x:v>
      </x:c>
      <x:c r="I14" s="139" t="str">
        <x:v>Vir mora biti sledljiv do polja ali evidence</x:v>
      </x:c>
    </x:row>
    <x:row r="15">
      <x:c r="A15" s="141" t="str">
        <x:v>sku_active</x:v>
      </x:c>
      <x:c r="B15" s="139" t="str">
        <x:v>integer</x:v>
      </x:c>
      <x:c r="C15" s="139" t="str">
        <x:v>SKU</x:v>
      </x:c>
      <x:c r="D15" s="139" t="str">
        <x:v>12 mesecev</x:v>
      </x:c>
      <x:c r="E15" s="139" t="str">
        <x:v>da</x:v>
      </x:c>
      <x:c r="F15" s="139" t="str">
        <x:v>ERP</x:v>
      </x:c>
      <x:c r="G15" s="139" t="str">
        <x:v>Glede na tip in poslovno logiko</x:v>
      </x:c>
      <x:c r="H15" s="139" t="str">
        <x:v>A–D</x:v>
      </x:c>
      <x:c r="I15" s="139" t="str">
        <x:v>Vir mora biti sledljiv do polja ali evidence</x:v>
      </x:c>
    </x:row>
    <x:row r="16">
      <x:c r="A16" s="141" t="str">
        <x:v>warehouse_fte</x:v>
      </x:c>
      <x:c r="B16" s="139" t="str">
        <x:v>decimal</x:v>
      </x:c>
      <x:c r="C16" s="139" t="str">
        <x:v>FTE</x:v>
      </x:c>
      <x:c r="D16" s="139" t="str">
        <x:v>aktualno</x:v>
      </x:c>
      <x:c r="E16" s="139" t="str">
        <x:v>validacija</x:v>
      </x:c>
      <x:c r="F16" s="139" t="str">
        <x:v>HR</x:v>
      </x:c>
      <x:c r="G16" s="139" t="str">
        <x:v>Glede na tip in poslovno logiko</x:v>
      </x:c>
      <x:c r="H16" s="139" t="str">
        <x:v>A–D</x:v>
      </x:c>
      <x:c r="I16" s="139" t="str">
        <x:v>Vir mora biti sledljiv do polja ali evidence</x:v>
      </x:c>
    </x:row>
    <x:row r="17">
      <x:c r="A17" s="141" t="str">
        <x:v>labor_cost_warehouse</x:v>
      </x:c>
      <x:c r="B17" s="139" t="str">
        <x:v>decimal</x:v>
      </x:c>
      <x:c r="C17" s="139" t="str">
        <x:v>EUR/uro</x:v>
      </x:c>
      <x:c r="D17" s="139" t="str">
        <x:v>aktualno</x:v>
      </x:c>
      <x:c r="E17" s="139" t="str">
        <x:v>za čas</x:v>
      </x:c>
      <x:c r="F17" s="139" t="str">
        <x:v>finance/HR</x:v>
      </x:c>
      <x:c r="G17" s="139" t="str">
        <x:v>Glede na tip in poslovno logiko</x:v>
      </x:c>
      <x:c r="H17" s="139" t="str">
        <x:v>A–D</x:v>
      </x:c>
      <x:c r="I17" s="139" t="str">
        <x:v>Vir mora biti sledljiv do polja ali evidence</x:v>
      </x:c>
    </x:row>
    <x:row r="18">
      <x:c r="A18" s="141" t="str">
        <x:v>data_source_class</x:v>
      </x:c>
      <x:c r="B18" s="139" t="str">
        <x:v>enum</x:v>
      </x:c>
      <x:c r="C18" s="139" t="str">
        <x:v>A-D</x:v>
      </x:c>
      <x:c r="D18" s="139" t="str">
        <x:v>vsak vnos</x:v>
      </x:c>
      <x:c r="E18" s="139" t="str">
        <x:v>da</x:v>
      </x:c>
      <x:c r="F18" s="139" t="str">
        <x:v>uporabnik/sistem</x:v>
      </x:c>
      <x:c r="G18" s="139" t="str">
        <x:v>Glede na tip in poslovno logiko</x:v>
      </x:c>
      <x:c r="H18" s="139" t="str">
        <x:v>A–D</x:v>
      </x:c>
      <x:c r="I18" s="139" t="str">
        <x:v>Vir mora biti sledljiv do polja ali evidence</x:v>
      </x:c>
    </x:row>
    <x:row r="19">
      <x:c r="A19" s="141" t="str">
        <x:v>avg_payables</x:v>
      </x:c>
      <x:c r="B19" s="139" t="str">
        <x:v>decimal</x:v>
      </x:c>
      <x:c r="C19" s="139" t="str">
        <x:v>EUR</x:v>
      </x:c>
      <x:c r="D19" s="139" t="str">
        <x:v>12-mesečno povprečje</x:v>
      </x:c>
      <x:c r="E19" s="139" t="str">
        <x:v>za DPO</x:v>
      </x:c>
      <x:c r="F19" s="139" t="str">
        <x:v>saldakonti</x:v>
      </x:c>
      <x:c r="G19" s="139" t="str">
        <x:v>&gt;=0</x:v>
      </x:c>
      <x:c r="H19" s="139" t="str">
        <x:v>A–D</x:v>
      </x:c>
      <x:c r="I19" s="139" t="str">
        <x:v>Uporabi kreditno nabavo na enaki osnovi</x:v>
      </x:c>
    </x:row>
    <x:row r="20">
      <x:c r="A20" s="141" t="str">
        <x:v>dso_target_reduction</x:v>
      </x:c>
      <x:c r="B20" s="139" t="str">
        <x:v>decimal</x:v>
      </x:c>
      <x:c r="C20" s="139" t="str">
        <x:v>dni</x:v>
      </x:c>
      <x:c r="D20" s="139" t="str">
        <x:v>projekt</x:v>
      </x:c>
      <x:c r="E20" s="139" t="str">
        <x:v>za AR ROI</x:v>
      </x:c>
      <x:c r="F20" s="139" t="str">
        <x:v>finance/discovery</x:v>
      </x:c>
      <x:c r="G20" s="139" t="str">
        <x:v>0–trenutni DSO</x:v>
      </x:c>
      <x:c r="H20" s="139" t="str">
        <x:v>B–D</x:v>
      </x:c>
      <x:c r="I20" s="139" t="str">
        <x:v>Samo procesno naslovljiv del</x:v>
      </x:c>
    </x:row>
    <x:row r="21">
      <x:c r="A21" s="141" t="str">
        <x:v>inventory_release_rate</x:v>
      </x:c>
      <x:c r="B21" s="139" t="str">
        <x:v>decimal</x:v>
      </x:c>
      <x:c r="C21" s="139" t="str">
        <x:v>%</x:v>
      </x:c>
      <x:c r="D21" s="139" t="str">
        <x:v>projekt</x:v>
      </x:c>
      <x:c r="E21" s="139" t="str">
        <x:v>za zalogo</x:v>
      </x:c>
      <x:c r="F21" s="139" t="str">
        <x:v>analiza aged stock</x:v>
      </x:c>
      <x:c r="G21" s="139" t="str">
        <x:v>0–100%</x:v>
      </x:c>
      <x:c r="H21" s="139" t="str">
        <x:v>B–D</x:v>
      </x:c>
      <x:c r="I21" s="139" t="str">
        <x:v>Ohrani kot razpon</x:v>
      </x:c>
    </x:row>
    <x:row r="22">
      <x:c r="A22" s="141" t="str">
        <x:v>implementation_months</x:v>
      </x:c>
      <x:c r="B22" s="139" t="str">
        <x:v>integer</x:v>
      </x:c>
      <x:c r="C22" s="139" t="str">
        <x:v>meseci</x:v>
      </x:c>
      <x:c r="D22" s="139" t="str">
        <x:v>projekt</x:v>
      </x:c>
      <x:c r="E22" s="139" t="str">
        <x:v>da za ROI</x:v>
      </x:c>
      <x:c r="F22" s="139" t="str">
        <x:v>plan uvedbe</x:v>
      </x:c>
      <x:c r="G22" s="139" t="str">
        <x:v>&gt;=0</x:v>
      </x:c>
      <x:c r="H22" s="139" t="str">
        <x:v>B–D</x:v>
      </x:c>
      <x:c r="I22" s="139" t="str">
        <x:v>Vključi stabilizacijo</x:v>
      </x:c>
    </x:row>
    <x:row r="23">
      <x:c r="A23" s="141" t="str">
        <x:v>annual_recurring_cost</x:v>
      </x:c>
      <x:c r="B23" s="139" t="str">
        <x:v>decimal</x:v>
      </x:c>
      <x:c r="C23" s="139" t="str">
        <x:v>EUR/leto</x:v>
      </x:c>
      <x:c r="D23" s="139" t="str">
        <x:v>projekt</x:v>
      </x:c>
      <x:c r="E23" s="139" t="str">
        <x:v>da za ROI</x:v>
      </x:c>
      <x:c r="F23" s="139" t="str">
        <x:v>ponudba/pogodba</x:v>
      </x:c>
      <x:c r="G23" s="139" t="str">
        <x:v>&gt;=0</x:v>
      </x:c>
      <x:c r="H23" s="139" t="str">
        <x:v>A–C</x:v>
      </x:c>
      <x:c r="I23" s="139" t="str">
        <x:v>Licence, gostovanje, podpora, integracije</x:v>
      </x:c>
    </x:row>
    <x:row r="24">
      <x:c r="A24" s="141" t="str">
        <x:v>one_time_external_cost</x:v>
      </x:c>
      <x:c r="B24" s="139" t="str">
        <x:v>decimal</x:v>
      </x:c>
      <x:c r="C24" s="139" t="str">
        <x:v>EUR</x:v>
      </x:c>
      <x:c r="D24" s="139" t="str">
        <x:v>projekt</x:v>
      </x:c>
      <x:c r="E24" s="139" t="str">
        <x:v>da za ROI</x:v>
      </x:c>
      <x:c r="F24" s="139" t="str">
        <x:v>ponudba</x:v>
      </x:c>
      <x:c r="G24" s="139" t="str">
        <x:v>&gt;=0</x:v>
      </x:c>
      <x:c r="H24" s="139" t="str">
        <x:v>A–C</x:v>
      </x:c>
      <x:c r="I24" s="139" t="str">
        <x:v>Implementacija, migracija, integracije, oprema</x:v>
      </x:c>
    </x:row>
    <x:row r="25">
      <x:c r="A25" s="141" t="str">
        <x:v>one_time_internal_hours</x:v>
      </x:c>
      <x:c r="B25" s="139" t="str">
        <x:v>decimal</x:v>
      </x:c>
      <x:c r="C25" s="139" t="str">
        <x:v>ure</x:v>
      </x:c>
      <x:c r="D25" s="139" t="str">
        <x:v>projekt</x:v>
      </x:c>
      <x:c r="E25" s="139" t="str">
        <x:v>da za ROI</x:v>
      </x:c>
      <x:c r="F25" s="139" t="str">
        <x:v>interni plan</x:v>
      </x:c>
      <x:c r="G25" s="139" t="str">
        <x:v>&gt;=0</x:v>
      </x:c>
      <x:c r="H25" s="139" t="str">
        <x:v>B–D</x:v>
      </x:c>
      <x:c r="I25" s="139" t="str">
        <x:v>Procesni lastniki, testiranje, podatki</x:v>
      </x:c>
    </x:row>
    <x:row r="26">
      <x:c r="A26" s="141" t="str">
        <x:v>loss_id</x:v>
      </x:c>
      <x:c r="B26" s="139" t="str">
        <x:v>text</x:v>
      </x:c>
      <x:c r="C26" s="139" t="str">
        <x:v>ID</x:v>
      </x:c>
      <x:c r="D26" s="139" t="str">
        <x:v>dogodek/izguba</x:v>
      </x:c>
      <x:c r="E26" s="139" t="str">
        <x:v>da</x:v>
      </x:c>
      <x:c r="F26" s="139" t="str">
        <x:v>model</x:v>
      </x:c>
      <x:c r="G26" s="139" t="str">
        <x:v>enolično</x:v>
      </x:c>
      <x:c r="H26" s="139" t="str">
        <x:v>A–D</x:v>
      </x:c>
      <x:c r="I26" s="139" t="str">
        <x:v>Poveži podvojene posledice istega dogodka</x:v>
      </x:c>
    </x:row>
    <x:row r="27">
      <x:c r="A27" s="141" t="str">
        <x:v>loss_treatment</x:v>
      </x:c>
      <x:c r="B27" s="139" t="str">
        <x:v>enum</x:v>
      </x:c>
      <x:c r="C27" s="139" t="str">
        <x:v>letno/enkratno/tveganje</x:v>
      </x:c>
      <x:c r="D27" s="139" t="str">
        <x:v>izguba</x:v>
      </x:c>
      <x:c r="E27" s="139" t="str">
        <x:v>da</x:v>
      </x:c>
      <x:c r="F27" s="139" t="str">
        <x:v>model</x:v>
      </x:c>
      <x:c r="G27" s="139" t="str">
        <x:v>dovoljene vrednosti</x:v>
      </x:c>
      <x:c r="H27" s="139" t="str">
        <x:v>A–D</x:v>
      </x:c>
      <x:c r="I27" s="139" t="str">
        <x:v>Kapital se obravnava enkratno</x:v>
      </x:c>
    </x:row>
    <x:row r="28">
      <x:c r="A28" s="144" t="str">
        <x:v>addressability</x:v>
      </x:c>
      <x:c r="B28" s="145" t="str">
        <x:v>decimal</x:v>
      </x:c>
      <x:c r="C28" s="145" t="str">
        <x:v>%</x:v>
      </x:c>
      <x:c r="D28" s="145" t="str">
        <x:v>izguba</x:v>
      </x:c>
      <x:c r="E28" s="145" t="str">
        <x:v>da</x:v>
      </x:c>
      <x:c r="F28" s="145" t="str">
        <x:v>discovery</x:v>
      </x:c>
      <x:c r="G28" s="145" t="str">
        <x:v>0–100%</x:v>
      </x:c>
      <x:c r="H28" s="145" t="str">
        <x:v>B–D</x:v>
      </x:c>
      <x:c r="I28" s="145" t="str">
        <x:v>Obvladljivost vzroka × pokritost × uporaba</x:v>
      </x:c>
    </x:row>
  </x:sheetData>
  <x:mergeCells>
    <x:mergeCell ref="A1:I1"/>
    <x:mergeCell ref="A2:I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24" hidden="0" customWidth="1"/>
    <x:col min="4" max="4" width="16" hidden="0" customWidth="1"/>
    <x:col min="5" max="5" width="14" hidden="0" customWidth="1"/>
    <x:col min="6" max="6" width="14" hidden="0" customWidth="1"/>
    <x:col min="7" max="7" width="52" hidden="0" customWidth="1"/>
  </x:cols>
  <x:sheetData>
    <x:row r="1" ht="34" customHeight="1">
      <x:c r="A1" s="151" t="str">
        <x:v>Validacije in kontrola modela</x:v>
      </x:c>
      <x:c r="B1" s="120"/>
      <x:c r="C1" s="120"/>
      <x:c r="D1" s="120"/>
      <x:c r="E1" s="120"/>
      <x:c r="F1" s="120"/>
      <x:c r="G1" s="120"/>
    </x:row>
    <x:row r="2" ht="28" customHeight="1">
      <x:c r="A2" s="121" t="str">
        <x:v>Opozorilo ne blokira neobičajnega podjetja, vendar zahteva pregled in razlago</x:v>
      </x:c>
      <x:c r="B2" s="120"/>
      <x:c r="C2" s="120"/>
      <x:c r="D2" s="120"/>
      <x:c r="E2" s="120"/>
      <x:c r="F2" s="120"/>
      <x:c r="G2" s="120"/>
    </x:row>
    <x:row r="3">
      <x:c r="A3" s="120"/>
      <x:c r="B3" s="120"/>
      <x:c r="C3" s="120"/>
      <x:c r="D3" s="120"/>
      <x:c r="E3" s="120"/>
      <x:c r="F3" s="120"/>
      <x:c r="G3" s="120"/>
    </x:row>
    <x:row r="4" ht="30" customHeight="1">
      <x:c r="A4" s="133" t="str">
        <x:v>Kontrola</x:v>
      </x:c>
      <x:c r="B4" s="134" t="str">
        <x:v>Dejansko</x:v>
      </x:c>
      <x:c r="C4" s="134" t="str">
        <x:v>Pričakovano</x:v>
      </x:c>
      <x:c r="D4" s="134" t="str">
        <x:v>Razlika</x:v>
      </x:c>
      <x:c r="E4" s="134" t="str">
        <x:v>Toleranca</x:v>
      </x:c>
      <x:c r="F4" s="134" t="str">
        <x:v>Status</x:v>
      </x:c>
      <x:c r="G4" s="135" t="str">
        <x:v>Kje popraviti / opomba</x:v>
      </x:c>
    </x:row>
    <x:row r="5">
      <x:c r="A5" s="136" t="str">
        <x:v>Kreditna prodaja ne presega prihodkov</x:v>
      </x:c>
      <x:c r="B5" s="189" t="n">
        <x:f>'01_Vhodi'!C6</x:f>
        <x:v>8000000</x:v>
      </x:c>
      <x:c r="C5" s="136" t="str">
        <x:v>&lt;='01_Vhodi'!C5</x:v>
      </x:c>
      <x:c r="D5" s="189" t="n">
        <x:f>'01_Vhodi'!C6-'01_Vhodi'!C5</x:f>
        <x:v>-2000000</x:v>
      </x:c>
      <x:c r="E5" s="189" t="n">
        <x:v>0</x:v>
      </x:c>
      <x:c r="F5" s="190" t="str">
        <x:f>IF(D5&lt;=E5,"OK","PREVERI")</x:f>
        <x:v>OK</x:v>
      </x:c>
      <x:c r="G5" s="136" t="str">
        <x:v>01_Vhodi C5:C6</x:v>
      </x:c>
    </x:row>
    <x:row r="6">
      <x:c r="A6" s="139" t="str">
        <x:v>Prispevna marža je med 0 in 100%</x:v>
      </x:c>
      <x:c r="B6" s="191" t="n">
        <x:f>'01_Vhodi'!C10</x:f>
        <x:v>0.25</x:v>
      </x:c>
      <x:c r="C6" s="139" t="str">
        <x:v>0–100%</x:v>
      </x:c>
      <x:c r="D6" s="191" t="n">
        <x:f>MAX(0,-B6)+MAX(0,B6-1)</x:f>
        <x:v>0</x:v>
      </x:c>
      <x:c r="E6" s="191" t="n">
        <x:v>0</x:v>
      </x:c>
      <x:c r="F6" s="192" t="str">
        <x:f>IF(D6&lt;=E6,"OK","PREVERI")</x:f>
        <x:v>OK</x:v>
      </x:c>
      <x:c r="G6" s="139" t="str">
        <x:v>01_Vhodi C10</x:v>
      </x:c>
    </x:row>
    <x:row r="7">
      <x:c r="A7" s="139" t="str">
        <x:v>Financirna stopnja je med 0 in 100%</x:v>
      </x:c>
      <x:c r="B7" s="191" t="n">
        <x:f>'01_Vhodi'!C11</x:f>
        <x:v>0.07</x:v>
      </x:c>
      <x:c r="C7" s="139" t="str">
        <x:v>0–100%</x:v>
      </x:c>
      <x:c r="D7" s="191" t="n">
        <x:f>MAX(0,-B7)+MAX(0,B7-1)</x:f>
        <x:v>0</x:v>
      </x:c>
      <x:c r="E7" s="191" t="n">
        <x:v>0</x:v>
      </x:c>
      <x:c r="F7" s="192" t="str">
        <x:f>IF(D7&lt;=E7,"OK","PREVERI")</x:f>
        <x:v>OK</x:v>
      </x:c>
      <x:c r="G7" s="139" t="str">
        <x:v>01_Vhodi C11</x:v>
      </x:c>
    </x:row>
    <x:row r="8">
      <x:c r="A8" s="139" t="str">
        <x:v>DSO ni negativen in ni nad 180 dni</x:v>
      </x:c>
      <x:c r="B8" s="191" t="n">
        <x:f>'01_Vhodi'!I8</x:f>
        <x:v>54.75</x:v>
      </x:c>
      <x:c r="C8" s="139" t="str">
        <x:v>0–180 dni</x:v>
      </x:c>
      <x:c r="D8" s="191" t="n">
        <x:f>MAX(0,-B8)+MAX(0,B8-180)</x:f>
        <x:v>0</x:v>
      </x:c>
      <x:c r="E8" s="191" t="n">
        <x:v>0</x:v>
      </x:c>
      <x:c r="F8" s="192" t="str">
        <x:f>IF(D8&lt;=E8,"OK","PREVERI")</x:f>
        <x:v>OK</x:v>
      </x:c>
      <x:c r="G8" s="139" t="str">
        <x:v>01_Vhodi C6/C9</x:v>
      </x:c>
    </x:row>
    <x:row r="9">
      <x:c r="A9" s="139" t="str">
        <x:v>DIO ni negativen in ni nad 730 dni</x:v>
      </x:c>
      <x:c r="B9" s="191" t="n">
        <x:f>'01_Vhodi'!I6</x:f>
        <x:v>78.21428571428572</x:v>
      </x:c>
      <x:c r="C9" s="139" t="str">
        <x:v>0–730 dni</x:v>
      </x:c>
      <x:c r="D9" s="191" t="n">
        <x:f>MAX(0,-B9)+MAX(0,B9-730)</x:f>
        <x:v>0</x:v>
      </x:c>
      <x:c r="E9" s="191" t="n">
        <x:v>0</x:v>
      </x:c>
      <x:c r="F9" s="192" t="str">
        <x:f>IF(D9&lt;=E9,"OK","PREVERI")</x:f>
        <x:v>OK</x:v>
      </x:c>
      <x:c r="G9" s="139" t="str">
        <x:v>01_Vhodi C7:C8</x:v>
      </x:c>
    </x:row>
    <x:row r="10">
      <x:c r="A10" s="139" t="str">
        <x:v>Skladiščne izgubljene ure ne presegajo kapacitete</x:v>
      </x:c>
      <x:c r="B10" s="191" t="n">
        <x:f>SUMIFS('03_Register_izgub'!$G$5:$G$64,'03_Register_izgub'!$B$5:$B$64,"Skladišče",'03_Register_izgub'!$C$5:$C$64,"Kapaciteta")</x:f>
        <x:v>900</x:v>
      </x:c>
      <x:c r="C10" s="139" t="str">
        <x:v>&lt; FTE × 2.080</x:v>
      </x:c>
      <x:c r="D10" s="191" t="n">
        <x:f>MAX(0,B10-'01_Vhodi'!C29*2080)</x:f>
        <x:v>0</x:v>
      </x:c>
      <x:c r="E10" s="191" t="n">
        <x:v>0</x:v>
      </x:c>
      <x:c r="F10" s="192" t="str">
        <x:f>IF(D10&lt;=E10,"OK","PREVERI")</x:f>
        <x:v>OK</x:v>
      </x:c>
      <x:c r="G10" s="139" t="str">
        <x:v>Register izgub + 01_Vhodi C29</x:v>
      </x:c>
    </x:row>
    <x:row r="11">
      <x:c r="A11" s="139" t="str">
        <x:v>Nizka korist &lt;= srednja korist</x:v>
      </x:c>
      <x:c r="B11" s="191" t="n">
        <x:f>SUM('03_Register_izgub'!X5:X64)</x:f>
        <x:v>44572.59</x:v>
      </x:c>
      <x:c r="C11" s="139" t="str">
        <x:v>&lt;= srednja</x:v>
      </x:c>
      <x:c r="D11" s="191" t="n">
        <x:f>MAX(0,B11-SUM('03_Register_izgub'!Y5:Y64))</x:f>
        <x:v>0</x:v>
      </x:c>
      <x:c r="E11" s="191" t="n">
        <x:v>0</x:v>
      </x:c>
      <x:c r="F11" s="192" t="str">
        <x:f>IF(D11&lt;=E11,"OK","PREVERI")</x:f>
        <x:v>OK</x:v>
      </x:c>
      <x:c r="G11" s="139" t="str">
        <x:v>03_Register_izgub X:Y</x:v>
      </x:c>
    </x:row>
    <x:row r="12">
      <x:c r="A12" s="139" t="str">
        <x:v>Srednja korist &lt;= visoka korist</x:v>
      </x:c>
      <x:c r="B12" s="191" t="n">
        <x:f>SUM('03_Register_izgub'!Y5:Y64)</x:f>
        <x:v>206213.56800000003</x:v>
      </x:c>
      <x:c r="C12" s="139" t="str">
        <x:v>&lt;= visoka</x:v>
      </x:c>
      <x:c r="D12" s="191" t="n">
        <x:f>MAX(0,B12-SUM('03_Register_izgub'!Z5:Z64))</x:f>
        <x:v>0</x:v>
      </x:c>
      <x:c r="E12" s="191" t="n">
        <x:v>0</x:v>
      </x:c>
      <x:c r="F12" s="192" t="str">
        <x:f>IF(D12&lt;=E12,"OK","PREVERI")</x:f>
        <x:v>OK</x:v>
      </x:c>
      <x:c r="G12" s="139" t="str">
        <x:v>03_Register_izgub Y:Z</x:v>
      </x:c>
    </x:row>
    <x:row r="13">
      <x:c r="A13" s="139" t="str">
        <x:v>Triletni stroški so pozitivni</x:v>
      </x:c>
      <x:c r="B13" s="191" t="n">
        <x:f>'04_ROI_scenariji'!C18</x:f>
        <x:v>234325</x:v>
      </x:c>
      <x:c r="C13" s="139" t="str">
        <x:v>&gt;0</x:v>
      </x:c>
      <x:c r="D13" s="191" t="n">
        <x:f>IF(B13&gt;0,0,1)</x:f>
        <x:v>0</x:v>
      </x:c>
      <x:c r="E13" s="191" t="n">
        <x:v>0</x:v>
      </x:c>
      <x:c r="F13" s="192" t="str">
        <x:f>IF(D13&lt;=E13,"OK","PREVERI")</x:f>
        <x:v>OK</x:v>
      </x:c>
      <x:c r="G13" s="139" t="str">
        <x:v>04_ROI_scenariji</x:v>
      </x:c>
    </x:row>
    <x:row r="14">
      <x:c r="A14" s="139" t="str">
        <x:v>Začetna investicija je pozitivna</x:v>
      </x:c>
      <x:c r="B14" s="191" t="n">
        <x:f>'04_ROI_scenariji'!C9</x:f>
        <x:v>144325</x:v>
      </x:c>
      <x:c r="C14" s="139" t="str">
        <x:v>&gt;0</x:v>
      </x:c>
      <x:c r="D14" s="191" t="n">
        <x:f>IF(B14&gt;0,0,1)</x:f>
        <x:v>0</x:v>
      </x:c>
      <x:c r="E14" s="191" t="n">
        <x:v>0</x:v>
      </x:c>
      <x:c r="F14" s="192" t="str">
        <x:f>IF(D14&lt;=E14,"OK","PREVERI")</x:f>
        <x:v>OK</x:v>
      </x:c>
      <x:c r="G14" s="139" t="str">
        <x:v>01_Vhodi C18:C26</x:v>
      </x:c>
    </x:row>
    <x:row r="15">
      <x:c r="A15" s="193" t="str">
        <x:v>MODEL STATUS</x:v>
      </x:c>
      <x:c r="B15" s="194"/>
      <x:c r="C15" s="194" t="str">
        <x:v>Vse kontrole OK</x:v>
      </x:c>
      <x:c r="D15" s="194"/>
      <x:c r="E15" s="194" t="n">
        <x:v>0</x:v>
      </x:c>
      <x:c r="F15" s="194" t="str">
        <x:f>IF(COUNTIF(F5:F14,"PREVERI")=0,"PASS","FAIL")</x:f>
        <x:v>PASS</x:v>
      </x:c>
      <x:c r="G15" s="195" t="str">
        <x:v>Pred uporabo odpravi ali dokumentiraj vsa opozorila</x:v>
      </x:c>
    </x:row>
  </x:sheetData>
  <x:mergeCells>
    <x:mergeCell ref="A1:G1"/>
    <x:mergeCell ref="A2:G2"/>
  </x:mergeCells>
  <x:conditionalFormatting sqref="F5:F15">
    <x:cfRule type="containsText" dxfId="0" priority="1" operator="containsText" text="PREVERI"/>
    <x:cfRule type="containsText" dxfId="1" priority="2" operator="containsText" text="FAIL"/>
    <x:cfRule type="containsText" dxfId="2" priority="3" operator="containsText" text="OK"/>
    <x:cfRule type="containsText" dxfId="3" priority="4" operator="containsText" text="PASS"/>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52" hidden="0" customWidth="1"/>
    <x:col min="4" max="4" width="78" hidden="0" customWidth="1"/>
    <x:col min="5" max="5" width="40" hidden="0" customWidth="1"/>
    <x:col min="6" max="6" width="46" hidden="0" customWidth="1"/>
  </x:cols>
  <x:sheetData>
    <x:row r="1" ht="34" customHeight="1">
      <x:c r="A1" s="151" t="str">
        <x:v>Viri in revizijska sled (39 virov)</x:v>
      </x:c>
      <x:c r="B1" s="120"/>
      <x:c r="C1" s="120"/>
      <x:c r="D1" s="120"/>
      <x:c r="E1" s="120"/>
      <x:c r="F1" s="120"/>
    </x:row>
    <x:row r="2" ht="28" customHeight="1">
      <x:c r="A2" s="121" t="str">
        <x:v>URL-ji so namenoma zapisani v celoti, da je mogoče vsak vir neodvisno preveriti</x:v>
      </x:c>
      <x:c r="B2" s="120"/>
      <x:c r="C2" s="120"/>
      <x:c r="D2" s="120"/>
      <x:c r="E2" s="120"/>
      <x:c r="F2" s="120"/>
    </x:row>
    <x:row r="3">
      <x:c r="A3" s="120"/>
      <x:c r="B3" s="120"/>
      <x:c r="C3" s="120"/>
      <x:c r="D3" s="120"/>
      <x:c r="E3" s="120"/>
      <x:c r="F3" s="120"/>
    </x:row>
    <x:row r="4" ht="30" customHeight="1">
      <x:c r="A4" s="133" t="str">
        <x:v>ID</x:v>
      </x:c>
      <x:c r="B4" s="134" t="str">
        <x:v>Skupina</x:v>
      </x:c>
      <x:c r="C4" s="134" t="str">
        <x:v>Vir</x:v>
      </x:c>
      <x:c r="D4" s="134" t="str">
        <x:v>URL</x:v>
      </x:c>
      <x:c r="E4" s="134" t="str">
        <x:v>Uporaba v modelu</x:v>
      </x:c>
      <x:c r="F4" s="135" t="str">
        <x:v>Dostopano / opomba</x:v>
      </x:c>
    </x:row>
    <x:row r="5">
      <x:c r="A5" s="138" t="str">
        <x:v>SRC-001</x:v>
      </x:c>
      <x:c r="B5" s="136" t="str">
        <x:v>Uradna statistika in digitalizacija</x:v>
      </x:c>
      <x:c r="C5" s="136" t="str">
        <x:v>SURS - Trgovina na drobno in na debelo, posredništvo, 2024</x:v>
      </x:c>
      <x:c r="D5" s="196" t="str">
        <x:v>https://www.stat.si/StatWeb/News/Index/13757</x:v>
      </x:c>
      <x:c r="E5" s="136" t="str">
        <x:v>Primarni ali strokovni vir iz researcha</x:v>
      </x:c>
      <x:c r="F5" s="136" t="str">
        <x:v>Research pripravljen 2026-08-07; pred produkcijo preveri aktualnost</x:v>
      </x:c>
    </x:row>
    <x:row r="6">
      <x:c r="A6" s="141" t="str">
        <x:v>SRC-002</x:v>
      </x:c>
      <x:c r="B6" s="139" t="str">
        <x:v>Uradna statistika in digitalizacija</x:v>
      </x:c>
      <x:c r="C6" s="139" t="str">
        <x:v>Eurostat - Businesses in distributive trade sector</x:v>
      </x:c>
      <x:c r="D6" s="197" t="str">
        <x:v>https://ec.europa.eu/eurostat/statistics-explained/index.php?title=Businesses_in_distributive_trade_sector</x:v>
      </x:c>
      <x:c r="E6" s="139" t="str">
        <x:v>Primarni ali strokovni vir iz researcha</x:v>
      </x:c>
      <x:c r="F6" s="139" t="str">
        <x:v>Research pripravljen 2026-08-07; pred produkcijo preveri aktualnost</x:v>
      </x:c>
    </x:row>
    <x:row r="7">
      <x:c r="A7" s="141" t="str">
        <x:v>SRC-003</x:v>
      </x:c>
      <x:c r="B7" s="139" t="str">
        <x:v>Uradna statistika in digitalizacija</x:v>
      </x:c>
      <x:c r="C7" s="139" t="str">
        <x:v>Eurostat - E-business integration</x:v>
      </x:c>
      <x:c r="D7" s="197" t="str">
        <x:v>https://ec.europa.eu/eurostat/statistics-explained/index.php?title=E-business_integration</x:v>
      </x:c>
      <x:c r="E7" s="139" t="str">
        <x:v>Primarni ali strokovni vir iz researcha</x:v>
      </x:c>
      <x:c r="F7" s="139" t="str">
        <x:v>Research pripravljen 2026-08-07; pred produkcijo preveri aktualnost</x:v>
      </x:c>
    </x:row>
    <x:row r="8">
      <x:c r="A8" s="141" t="str">
        <x:v>SRC-004</x:v>
      </x:c>
      <x:c r="B8" s="139" t="str">
        <x:v>Uradna statistika in digitalizacija</x:v>
      </x:c>
      <x:c r="C8" s="139" t="str">
        <x:v>Eurostat - E-commerce statistics</x:v>
      </x:c>
      <x:c r="D8" s="197" t="str">
        <x:v>https://ec.europa.eu/eurostat/statistics-explained/index.php?title=E-commerce_statistics</x:v>
      </x:c>
      <x:c r="E8" s="139" t="str">
        <x:v>Primarni ali strokovni vir iz researcha</x:v>
      </x:c>
      <x:c r="F8" s="139" t="str">
        <x:v>Research pripravljen 2026-08-07; pred produkcijo preveri aktualnost</x:v>
      </x:c>
    </x:row>
    <x:row r="9">
      <x:c r="A9" s="141" t="str">
        <x:v>SRC-005</x:v>
      </x:c>
      <x:c r="B9" s="139" t="str">
        <x:v>Uradna statistika in digitalizacija</x:v>
      </x:c>
      <x:c r="C9" s="139" t="str">
        <x:v>Eurostat - Cloud computing in enterprises</x:v>
      </x:c>
      <x:c r="D9" s="197" t="str">
        <x:v>https://ec.europa.eu/eurostat/statistics-explained/index.php?title=Cloud_computing_-_statistics_on_the_use_by_enterprises</x:v>
      </x:c>
      <x:c r="E9" s="139" t="str">
        <x:v>Primarni ali strokovni vir iz researcha</x:v>
      </x:c>
      <x:c r="F9" s="139" t="str">
        <x:v>Research pripravljen 2026-08-07; pred produkcijo preveri aktualnost</x:v>
      </x:c>
    </x:row>
    <x:row r="10">
      <x:c r="A10" s="141" t="str">
        <x:v>SRC-006</x:v>
      </x:c>
      <x:c r="B10" s="139" t="str">
        <x:v>Uradna statistika in digitalizacija</x:v>
      </x:c>
      <x:c r="C10" s="139" t="str">
        <x:v>Eurostat - Digital economy and society statistics, enterprises</x:v>
      </x:c>
      <x:c r="D10" s="197" t="str">
        <x:v>https://ec.europa.eu/eurostat/statistics-explained/index.php?title=Digital_economy_and_society_statistics_-_enterprises</x:v>
      </x:c>
      <x:c r="E10" s="139" t="str">
        <x:v>Primarni ali strokovni vir iz researcha</x:v>
      </x:c>
      <x:c r="F10" s="139" t="str">
        <x:v>Research pripravljen 2026-08-07; pred produkcijo preveri aktualnost</x:v>
      </x:c>
    </x:row>
    <x:row r="11">
      <x:c r="A11" s="141" t="str">
        <x:v>SRC-007</x:v>
      </x:c>
      <x:c r="B11" s="139" t="str">
        <x:v>Procesi, KPI-ji in standardi</x:v>
      </x:c>
      <x:c r="C11" s="139" t="str">
        <x:v>ASCM - SCOR Digital Standard</x:v>
      </x:c>
      <x:c r="D11" s="197" t="str">
        <x:v>https://www.ascm.org/corporate-solutions/standards-tools/scor-ds/</x:v>
      </x:c>
      <x:c r="E11" s="139" t="str">
        <x:v>Primarni ali strokovni vir iz researcha</x:v>
      </x:c>
      <x:c r="F11" s="139" t="str">
        <x:v>Research pripravljen 2026-08-07; pred produkcijo preveri aktualnost</x:v>
      </x:c>
    </x:row>
    <x:row r="12">
      <x:c r="A12" s="141" t="str">
        <x:v>SRC-008</x:v>
      </x:c>
      <x:c r="B12" s="139" t="str">
        <x:v>Procesi, KPI-ji in standardi</x:v>
      </x:c>
      <x:c r="C12" s="139" t="str">
        <x:v>ASCM - SCOR Quick Reference Guide</x:v>
      </x:c>
      <x:c r="D12" s="197" t="str">
        <x:v>https://www.ascm.org/globalassets/ascm_website_assets/docs/scor/scor-ds-digital-guide_final.pdf</x:v>
      </x:c>
      <x:c r="E12" s="139" t="str">
        <x:v>Primarni ali strokovni vir iz researcha</x:v>
      </x:c>
      <x:c r="F12" s="139" t="str">
        <x:v>Research pripravljen 2026-08-07; pred produkcijo preveri aktualnost</x:v>
      </x:c>
    </x:row>
    <x:row r="13">
      <x:c r="A13" s="141" t="str">
        <x:v>SRC-009</x:v>
      </x:c>
      <x:c r="B13" s="139" t="str">
        <x:v>Procesi, KPI-ji in standardi</x:v>
      </x:c>
      <x:c r="C13" s="139" t="str">
        <x:v>APQC - Perfect order performance</x:v>
      </x:c>
      <x:c r="D13" s="197" t="str">
        <x:v>https://www.apqc.org/resources/benchmarking/open-standards-benchmarking/measures/perfect-order-performance</x:v>
      </x:c>
      <x:c r="E13" s="139" t="str">
        <x:v>Primarni ali strokovni vir iz researcha</x:v>
      </x:c>
      <x:c r="F13" s="139" t="str">
        <x:v>Research pripravljen 2026-08-07; pred produkcijo preveri aktualnost</x:v>
      </x:c>
    </x:row>
    <x:row r="14">
      <x:c r="A14" s="141" t="str">
        <x:v>SRC-010</x:v>
      </x:c>
      <x:c r="B14" s="139" t="str">
        <x:v>Procesi, KPI-ji in standardi</x:v>
      </x:c>
      <x:c r="C14" s="139" t="str">
        <x:v>APQC - Total inventory days of supply</x:v>
      </x:c>
      <x:c r="D14" s="197" t="str">
        <x:v>https://www.apqc.org/resources/benchmarking/open-standards-benchmarking/measures/inventory-days-supply</x:v>
      </x:c>
      <x:c r="E14" s="139" t="str">
        <x:v>Primarni ali strokovni vir iz researcha</x:v>
      </x:c>
      <x:c r="F14" s="139" t="str">
        <x:v>Research pripravljen 2026-08-07; pred produkcijo preveri aktualnost</x:v>
      </x:c>
    </x:row>
    <x:row r="15">
      <x:c r="A15" s="141" t="str">
        <x:v>SRC-011</x:v>
      </x:c>
      <x:c r="B15" s="139" t="str">
        <x:v>Procesi, KPI-ji in standardi</x:v>
      </x:c>
      <x:c r="C15" s="139" t="str">
        <x:v>APQC - Supplier on-time delivery</x:v>
      </x:c>
      <x:c r="D15" s="197" t="str">
        <x:v>https://www.apqc.org/what-we-do/benchmarking/open-standards-benchmarking/measures/percentage-supplier-time-delivery</x:v>
      </x:c>
      <x:c r="E15" s="139" t="str">
        <x:v>Primarni ali strokovni vir iz researcha</x:v>
      </x:c>
      <x:c r="F15" s="139" t="str">
        <x:v>Research pripravljen 2026-08-07; pred produkcijo preveri aktualnost</x:v>
      </x:c>
    </x:row>
    <x:row r="16">
      <x:c r="A16" s="141" t="str">
        <x:v>SRC-012</x:v>
      </x:c>
      <x:c r="B16" s="139" t="str">
        <x:v>Procesi, KPI-ji in standardi</x:v>
      </x:c>
      <x:c r="C16" s="139" t="str">
        <x:v>APQC - Open Standards Benchmarking Glossary</x:v>
      </x:c>
      <x:c r="D16" s="197" t="str">
        <x:v>https://www.apqc.org/sites/default/files/files/Glossary_5-13.pdf</x:v>
      </x:c>
      <x:c r="E16" s="139" t="str">
        <x:v>Primarni ali strokovni vir iz researcha</x:v>
      </x:c>
      <x:c r="F16" s="139" t="str">
        <x:v>Research pripravljen 2026-08-07; pred produkcijo preveri aktualnost</x:v>
      </x:c>
    </x:row>
    <x:row r="17">
      <x:c r="A17" s="141" t="str">
        <x:v>SRC-013</x:v>
      </x:c>
      <x:c r="B17" s="139" t="str">
        <x:v>Procesi, KPI-ji in standardi</x:v>
      </x:c>
      <x:c r="C17" s="139" t="str">
        <x:v>GS1 - Global Traceability Standard</x:v>
      </x:c>
      <x:c r="D17" s="197" t="str">
        <x:v>https://www.gs1.org/standards/gs1-global-traceability-standard/current-standard</x:v>
      </x:c>
      <x:c r="E17" s="139" t="str">
        <x:v>Primarni ali strokovni vir iz researcha</x:v>
      </x:c>
      <x:c r="F17" s="139" t="str">
        <x:v>Research pripravljen 2026-08-07; pred produkcijo preveri aktualnost</x:v>
      </x:c>
    </x:row>
    <x:row r="18">
      <x:c r="A18" s="141" t="str">
        <x:v>SRC-014</x:v>
      </x:c>
      <x:c r="B18" s="139" t="str">
        <x:v>Procesi, KPI-ji in standardi</x:v>
      </x:c>
      <x:c r="C18" s="139" t="str">
        <x:v>GS1 - Logistic Label Guideline</x:v>
      </x:c>
      <x:c r="D18" s="197" t="str">
        <x:v>https://www.gs1.org/standards/gs1-logistic-label-guideline/current-standard</x:v>
      </x:c>
      <x:c r="E18" s="139" t="str">
        <x:v>Primarni ali strokovni vir iz researcha</x:v>
      </x:c>
      <x:c r="F18" s="139" t="str">
        <x:v>Research pripravljen 2026-08-07; pred produkcijo preveri aktualnost</x:v>
      </x:c>
    </x:row>
    <x:row r="19">
      <x:c r="A19" s="141" t="str">
        <x:v>SRC-015</x:v>
      </x:c>
      <x:c r="B19" s="139" t="str">
        <x:v>Procesi, KPI-ji in standardi</x:v>
      </x:c>
      <x:c r="C19" s="139" t="str">
        <x:v>GS1 Slovenija - EDI</x:v>
      </x:c>
      <x:c r="D19" s="197" t="str">
        <x:v>https://www.gs1si.org/standardi/izmenjava-podatkov/gs1-edi</x:v>
      </x:c>
      <x:c r="E19" s="139" t="str">
        <x:v>Primarni ali strokovni vir iz researcha</x:v>
      </x:c>
      <x:c r="F19" s="139" t="str">
        <x:v>Research pripravljen 2026-08-07; pred produkcijo preveri aktualnost</x:v>
      </x:c>
    </x:row>
    <x:row r="20">
      <x:c r="A20" s="141" t="str">
        <x:v>SRC-016</x:v>
      </x:c>
      <x:c r="B20" s="139" t="str">
        <x:v>Procesi, KPI-ji in standardi</x:v>
      </x:c>
      <x:c r="C20" s="139" t="str">
        <x:v>GS1 Slovenija - Elektronska dobavnica</x:v>
      </x:c>
      <x:c r="D20" s="197" t="str">
        <x:v>https://www.gs1si.org/panoge/logistika-transport/elektronska-dobavnica</x:v>
      </x:c>
      <x:c r="E20" s="139" t="str">
        <x:v>Primarni ali strokovni vir iz researcha</x:v>
      </x:c>
      <x:c r="F20" s="139" t="str">
        <x:v>Research pripravljen 2026-08-07; pred produkcijo preveri aktualnost</x:v>
      </x:c>
    </x:row>
    <x:row r="21">
      <x:c r="A21" s="141" t="str">
        <x:v>SRC-017</x:v>
      </x:c>
      <x:c r="B21" s="139" t="str">
        <x:v>Procesi, KPI-ji in standardi</x:v>
      </x:c>
      <x:c r="C21" s="139" t="str">
        <x:v>De Koster, Le-Duc in Roodbergen - Design and control of warehouse order picking</x:v>
      </x:c>
      <x:c r="D21" s="197" t="str">
        <x:v>https://repub.eur.nl/pub/11877/</x:v>
      </x:c>
      <x:c r="E21" s="139" t="str">
        <x:v>Primarni ali strokovni vir iz researcha</x:v>
      </x:c>
      <x:c r="F21" s="139" t="str">
        <x:v>Research pripravljen 2026-08-07; pred produkcijo preveri aktualnost</x:v>
      </x:c>
    </x:row>
    <x:row r="22">
      <x:c r="A22" s="141" t="str">
        <x:v>SRC-018</x:v>
      </x:c>
      <x:c r="B22" s="139" t="str">
        <x:v>Procesi, KPI-ji in standardi</x:v>
      </x:c>
      <x:c r="C22" s="139" t="str">
        <x:v>IFRS Foundation - IAS 2 Inventories</x:v>
      </x:c>
      <x:c r="D22" s="197" t="str">
        <x:v>https://www.ifrs.org/issued-standards/list-of-standards/ias-2-inventories/</x:v>
      </x:c>
      <x:c r="E22" s="139" t="str">
        <x:v>Primarni ali strokovni vir iz researcha</x:v>
      </x:c>
      <x:c r="F22" s="139" t="str">
        <x:v>Research pripravljen 2026-08-07; pred produkcijo preveri aktualnost</x:v>
      </x:c>
    </x:row>
    <x:row r="23">
      <x:c r="A23" s="141" t="str">
        <x:v>SRC-019</x:v>
      </x:c>
      <x:c r="B23" s="139" t="str">
        <x:v>Regulatorni in finančni viri</x:v>
      </x:c>
      <x:c r="C23" s="139" t="str">
        <x:v>GOV.SI - Zakon o izmenjavi elektronskih računov</x:v>
      </x:c>
      <x:c r="D23" s="197" t="str">
        <x:v>https://www.gov.si/novice/2025-10-23-drzavni-zbor-sprejel-zakon-o-izmenjavi-elektronskih-racunov-in-drugih-elektronskih-dokumentov/</x:v>
      </x:c>
      <x:c r="E23" s="139" t="str">
        <x:v>Primarni ali strokovni vir iz researcha</x:v>
      </x:c>
      <x:c r="F23" s="139" t="str">
        <x:v>Research pripravljen 2026-08-07; pred produkcijo preveri aktualnost</x:v>
      </x:c>
    </x:row>
    <x:row r="24">
      <x:c r="A24" s="141" t="str">
        <x:v>SRC-020</x:v>
      </x:c>
      <x:c r="B24" s="139" t="str">
        <x:v>Regulatorni in finančni viri</x:v>
      </x:c>
      <x:c r="C24" s="139" t="str">
        <x:v>EUR-Lex - Direktiva 2011/7/EU o zamudah pri plačilih</x:v>
      </x:c>
      <x:c r="D24" s="197" t="str">
        <x:v>https://eur-lex.europa.eu/eli/dir/2011/7</x:v>
      </x:c>
      <x:c r="E24" s="139" t="str">
        <x:v>Primarni ali strokovni vir iz researcha</x:v>
      </x:c>
      <x:c r="F24" s="139" t="str">
        <x:v>Research pripravljen 2026-08-07; pred produkcijo preveri aktualnost</x:v>
      </x:c>
    </x:row>
    <x:row r="25">
      <x:c r="A25" s="141" t="str">
        <x:v>SRC-021</x:v>
      </x:c>
      <x:c r="B25" s="139" t="str">
        <x:v>Regulatorni in finančni viri</x:v>
      </x:c>
      <x:c r="C25" s="139" t="str">
        <x:v>Banka Slovenije - Temeljna in zamudna obrestna mera</x:v>
      </x:c>
      <x:c r="D25" s="197" t="str">
        <x:v>https://www.bsi.si/sl/statistika/obrestne-mere/temeljna-in-zamudna-obrestna-mera</x:v>
      </x:c>
      <x:c r="E25" s="139" t="str">
        <x:v>Primarni ali strokovni vir iz researcha</x:v>
      </x:c>
      <x:c r="F25" s="139" t="str">
        <x:v>Research pripravljen 2026-08-07; pred produkcijo preveri aktualnost</x:v>
      </x:c>
    </x:row>
    <x:row r="26">
      <x:c r="A26" s="141" t="str">
        <x:v>SRC-022</x:v>
      </x:c>
      <x:c r="B26" s="139" t="str">
        <x:v>Regulatorni in finančni viri</x:v>
      </x:c>
      <x:c r="C26" s="139" t="str">
        <x:v>ECB - Euro short-term rate</x:v>
      </x:c>
      <x:c r="D26" s="197" t="str">
        <x:v>https://www.ecb.europa.eu/stats/financial_markets_and_interest_rates/euro-short-term_rate/html/index.en.html</x:v>
      </x:c>
      <x:c r="E26" s="139" t="str">
        <x:v>Primarni ali strokovni vir iz researcha</x:v>
      </x:c>
      <x:c r="F26" s="139" t="str">
        <x:v>Research pripravljen 2026-08-07; pred produkcijo preveri aktualnost</x:v>
      </x:c>
    </x:row>
    <x:row r="27">
      <x:c r="A27" s="141" t="str">
        <x:v>SRC-023</x:v>
      </x:c>
      <x:c r="B27" s="139" t="str">
        <x:v>Regulatorni in finančni viri</x:v>
      </x:c>
      <x:c r="C27" s="139" t="str">
        <x:v>FURS - Carinska vrednost blaga</x:v>
      </x:c>
      <x:c r="D27" s="197" t="str">
        <x:v>https://www.fu.gov.si/carina/podrocja/carinska_vrednost_blaga/</x:v>
      </x:c>
      <x:c r="E27" s="139" t="str">
        <x:v>Primarni ali strokovni vir iz researcha</x:v>
      </x:c>
      <x:c r="F27" s="139" t="str">
        <x:v>Research pripravljen 2026-08-07; pred produkcijo preveri aktualnost</x:v>
      </x:c>
    </x:row>
    <x:row r="28">
      <x:c r="A28" s="141" t="str">
        <x:v>SRC-024</x:v>
      </x:c>
      <x:c r="B28" s="139" t="str">
        <x:v>Regulatorni in finančni viri</x:v>
      </x:c>
      <x:c r="C28" s="139" t="str">
        <x:v>Evropska komisija - CBAM definitive regime</x:v>
      </x:c>
      <x:c r="D28" s="197" t="str">
        <x:v>https://taxation-customs.ec.europa.eu/carbon-border-adjustment-mechanism/cbam-definitive-regime_en</x:v>
      </x:c>
      <x:c r="E28" s="139" t="str">
        <x:v>Primarni ali strokovni vir iz researcha</x:v>
      </x:c>
      <x:c r="F28" s="139" t="str">
        <x:v>Research pripravljen 2026-08-07; pred produkcijo preveri aktualnost</x:v>
      </x:c>
    </x:row>
    <x:row r="29">
      <x:c r="A29" s="141" t="str">
        <x:v>SRC-025</x:v>
      </x:c>
      <x:c r="B29" s="139" t="str">
        <x:v>Regulatorni in finančni viri</x:v>
      </x:c>
      <x:c r="C29" s="139" t="str">
        <x:v>GOV.SI - ZInfV-1</x:v>
      </x:c>
      <x:c r="D29" s="197" t="str">
        <x:v>https://www.gov.si/novice/2025-06-19-zacetek-veljavnosti-novega-zakona-o-informacijski-varnosti-zinfv-1/</x:v>
      </x:c>
      <x:c r="E29" s="139" t="str">
        <x:v>Primarni ali strokovni vir iz researcha</x:v>
      </x:c>
      <x:c r="F29" s="139" t="str">
        <x:v>Research pripravljen 2026-08-07; pred produkcijo preveri aktualnost</x:v>
      </x:c>
    </x:row>
    <x:row r="30">
      <x:c r="A30" s="141" t="str">
        <x:v>SRC-026</x:v>
      </x:c>
      <x:c r="B30" s="139" t="str">
        <x:v>Regulatorni in finančni viri</x:v>
      </x:c>
      <x:c r="C30" s="139" t="str">
        <x:v>EUR-Lex - Packaging and packaging waste from 2026</x:v>
      </x:c>
      <x:c r="D30" s="197" t="str">
        <x:v>https://eur-lex.europa.eu/EN/legal-content/summary/packaging-and-packaging-waste-from-2026.html</x:v>
      </x:c>
      <x:c r="E30" s="139" t="str">
        <x:v>Primarni ali strokovni vir iz researcha</x:v>
      </x:c>
      <x:c r="F30" s="139" t="str">
        <x:v>Research pripravljen 2026-08-07; pred produkcijo preveri aktualnost</x:v>
      </x:c>
    </x:row>
    <x:row r="31">
      <x:c r="A31" s="141" t="str">
        <x:v>SRC-027</x:v>
      </x:c>
      <x:c r="B31" s="139" t="str">
        <x:v>Regulatorni in finančni viri</x:v>
      </x:c>
      <x:c r="C31" s="139" t="str">
        <x:v>EUR-Lex - Uredba 178/2002 o splošni živilski zakonodaji</x:v>
      </x:c>
      <x:c r="D31" s="197" t="str">
        <x:v>https://eur-lex.europa.eu/eli/reg/2002/178/oj/eng</x:v>
      </x:c>
      <x:c r="E31" s="139" t="str">
        <x:v>Primarni ali strokovni vir iz researcha</x:v>
      </x:c>
      <x:c r="F31" s="139" t="str">
        <x:v>Research pripravljen 2026-08-07; pred produkcijo preveri aktualnost</x:v>
      </x:c>
    </x:row>
    <x:row r="32">
      <x:c r="A32" s="141" t="str">
        <x:v>SRC-028</x:v>
      </x:c>
      <x:c r="B32" s="139" t="str">
        <x:v>Regulatorni in finančni viri</x:v>
      </x:c>
      <x:c r="C32" s="139" t="str">
        <x:v>EMA - Falsified medicines overview</x:v>
      </x:c>
      <x:c r="D32" s="197" t="str">
        <x:v>https://www.ema.europa.eu/en/human-regulatory-overview/public-health-threats/falsified-medicines-overview</x:v>
      </x:c>
      <x:c r="E32" s="139" t="str">
        <x:v>Primarni ali strokovni vir iz researcha</x:v>
      </x:c>
      <x:c r="F32" s="139" t="str">
        <x:v>Research pripravljen 2026-08-07; pred produkcijo preveri aktualnost</x:v>
      </x:c>
    </x:row>
    <x:row r="33">
      <x:c r="A33" s="141" t="str">
        <x:v>SRC-029</x:v>
      </x:c>
      <x:c r="B33" s="139" t="str">
        <x:v>Regulatorni in finančni viri</x:v>
      </x:c>
      <x:c r="C33" s="139" t="str">
        <x:v>Evropska komisija - UDI/Device registration</x:v>
      </x:c>
      <x:c r="D33" s="197" t="str">
        <x:v>https://health.ec.europa.eu/medical-devices/eudamed/udidevice-registration_en</x:v>
      </x:c>
      <x:c r="E33" s="139" t="str">
        <x:v>Primarni ali strokovni vir iz researcha</x:v>
      </x:c>
      <x:c r="F33" s="139" t="str">
        <x:v>Research pripravljen 2026-08-07; pred produkcijo preveri aktualnost</x:v>
      </x:c>
    </x:row>
    <x:row r="34">
      <x:c r="A34" s="141" t="str">
        <x:v>SRC-030</x:v>
      </x:c>
      <x:c r="B34" s="139" t="str">
        <x:v>Regulatorni in finančni viri</x:v>
      </x:c>
      <x:c r="C34" s="139" t="str">
        <x:v>UNECE - ADR 2025</x:v>
      </x:c>
      <x:c r="D34" s="197" t="str">
        <x:v>https://unece.org/adr-2025-files</x:v>
      </x:c>
      <x:c r="E34" s="139" t="str">
        <x:v>Primarni ali strokovni vir iz researcha</x:v>
      </x:c>
      <x:c r="F34" s="139" t="str">
        <x:v>Research pripravljen 2026-08-07; pred produkcijo preveri aktualnost</x:v>
      </x:c>
    </x:row>
    <x:row r="35">
      <x:c r="A35" s="141" t="str">
        <x:v>SRC-031</x:v>
      </x:c>
      <x:c r="B35" s="139" t="str">
        <x:v>Datalab in PANTHEON</x:v>
      </x:c>
      <x:c r="C35" s="139" t="str">
        <x:v>Datalab - PANTHEON Enterprise</x:v>
      </x:c>
      <x:c r="D35" s="197" t="str">
        <x:v>https://www.datalab.si/pantheon/enterprise/</x:v>
      </x:c>
      <x:c r="E35" s="139" t="str">
        <x:v>Primarni ali strokovni vir iz researcha</x:v>
      </x:c>
      <x:c r="F35" s="139" t="str">
        <x:v>Research pripravljen 2026-08-07; pred produkcijo preveri aktualnost</x:v>
      </x:c>
    </x:row>
    <x:row r="36">
      <x:c r="A36" s="141" t="str">
        <x:v>SRC-032</x:v>
      </x:c>
      <x:c r="B36" s="139" t="str">
        <x:v>Datalab in PANTHEON</x:v>
      </x:c>
      <x:c r="C36" s="139" t="str">
        <x:v>Datalab - Poslovni program za veleprodajo</x:v>
      </x:c>
      <x:c r="D36" s="197" t="str">
        <x:v>https://www.datalab.si/poslovni-program-za-veleprodajo/</x:v>
      </x:c>
      <x:c r="E36" s="139" t="str">
        <x:v>Primarni ali strokovni vir iz researcha</x:v>
      </x:c>
      <x:c r="F36" s="139" t="str">
        <x:v>Research pripravljen 2026-08-07; pred produkcijo preveri aktualnost</x:v>
      </x:c>
    </x:row>
    <x:row r="37">
      <x:c r="A37" s="141" t="str">
        <x:v>SRC-033</x:v>
      </x:c>
      <x:c r="B37" s="139" t="str">
        <x:v>Datalab in PANTHEON</x:v>
      </x:c>
      <x:c r="C37" s="139" t="str">
        <x:v>Datalab - Tržnica dodatnih rešitev</x:v>
      </x:c>
      <x:c r="D37" s="197" t="str">
        <x:v>https://www.datalab.si/dodatne-resitve/</x:v>
      </x:c>
      <x:c r="E37" s="139" t="str">
        <x:v>Primarni ali strokovni vir iz researcha</x:v>
      </x:c>
      <x:c r="F37" s="139" t="str">
        <x:v>Research pripravljen 2026-08-07; pred produkcijo preveri aktualnost</x:v>
      </x:c>
    </x:row>
    <x:row r="38">
      <x:c r="A38" s="141" t="str">
        <x:v>SRC-034</x:v>
      </x:c>
      <x:c r="B38" s="139" t="str">
        <x:v>Datalab in PANTHEON</x:v>
      </x:c>
      <x:c r="C38" s="139" t="str">
        <x:v>Datalab - PANTHEON DMS</x:v>
      </x:c>
      <x:c r="D38" s="197" t="str">
        <x:v>https://www.datalab.si/eposlovanje/pantheon-dms/</x:v>
      </x:c>
      <x:c r="E38" s="139" t="str">
        <x:v>Primarni ali strokovni vir iz researcha</x:v>
      </x:c>
      <x:c r="F38" s="139" t="str">
        <x:v>Research pripravljen 2026-08-07; pred produkcijo preveri aktualnost</x:v>
      </x:c>
    </x:row>
    <x:row r="39">
      <x:c r="A39" s="141" t="str">
        <x:v>SRC-035</x:v>
      </x:c>
      <x:c r="B39" s="139" t="str">
        <x:v>Datalab in PANTHEON</x:v>
      </x:c>
      <x:c r="C39" s="139" t="str">
        <x:v>Datalab - Granula B2B naročanje</x:v>
      </x:c>
      <x:c r="D39" s="197" t="str">
        <x:v>https://www.datalab.si/pantheon-granule/b2b-narocanje/</x:v>
      </x:c>
      <x:c r="E39" s="139" t="str">
        <x:v>Primarni ali strokovni vir iz researcha</x:v>
      </x:c>
      <x:c r="F39" s="139" t="str">
        <x:v>Research pripravljen 2026-08-07; pred produkcijo preveri aktualnost</x:v>
      </x:c>
    </x:row>
    <x:row r="40">
      <x:c r="A40" s="141" t="str">
        <x:v>SRC-036</x:v>
      </x:c>
      <x:c r="B40" s="139" t="str">
        <x:v>Datalab in PANTHEON</x:v>
      </x:c>
      <x:c r="C40" s="139" t="str">
        <x:v>Datalab - Granula Inventura skladišč</x:v>
      </x:c>
      <x:c r="D40" s="197" t="str">
        <x:v>https://www.datalab.si/pantheon-granule/granula-inventura-skladisc/</x:v>
      </x:c>
      <x:c r="E40" s="139" t="str">
        <x:v>Primarni ali strokovni vir iz researcha</x:v>
      </x:c>
      <x:c r="F40" s="139" t="str">
        <x:v>Research pripravljen 2026-08-07; pred produkcijo preveri aktualnost</x:v>
      </x:c>
    </x:row>
    <x:row r="41">
      <x:c r="A41" s="141" t="str">
        <x:v>SRC-037</x:v>
      </x:c>
      <x:c r="B41" s="139" t="str">
        <x:v>Datalab in PANTHEON</x:v>
      </x:c>
      <x:c r="C41" s="139" t="str">
        <x:v>Datalab - Granula Servis na terenu</x:v>
      </x:c>
      <x:c r="D41" s="197" t="str">
        <x:v>https://www.datalab.si/pantheon-granule/granula-servis-na-terenu/</x:v>
      </x:c>
      <x:c r="E41" s="139" t="str">
        <x:v>Primarni ali strokovni vir iz researcha</x:v>
      </x:c>
      <x:c r="F41" s="139" t="str">
        <x:v>Research pripravljen 2026-08-07; pred produkcijo preveri aktualnost</x:v>
      </x:c>
    </x:row>
    <x:row r="42">
      <x:c r="A42" s="141" t="str">
        <x:v>SRC-038</x:v>
      </x:c>
      <x:c r="B42" s="139" t="str">
        <x:v>Datalab in PANTHEON</x:v>
      </x:c>
      <x:c r="C42" s="139" t="str">
        <x:v>Datalab - Granula Nadzorne plošče</x:v>
      </x:c>
      <x:c r="D42" s="197" t="str">
        <x:v>https://www.datalab.si/pantheon-granule/granula-nadzorne-plosce/</x:v>
      </x:c>
      <x:c r="E42" s="139" t="str">
        <x:v>Primarni ali strokovni vir iz researcha</x:v>
      </x:c>
      <x:c r="F42" s="139" t="str">
        <x:v>Research pripravljen 2026-08-07; pred produkcijo preveri aktualnost</x:v>
      </x:c>
    </x:row>
    <x:row r="43">
      <x:c r="A43" s="144" t="str">
        <x:v>SRC-039</x:v>
      </x:c>
      <x:c r="B43" s="145" t="str">
        <x:v>Datalab in PANTHEON</x:v>
      </x:c>
      <x:c r="C43" s="145" t="str">
        <x:v>Datalab - partner EPAKET: PanScan, PanStore in PanDistro</x:v>
      </x:c>
      <x:c r="D43" s="198" t="str">
        <x:v>https://www.datalab.si/partnerji/epaket-d-o-o/</x:v>
      </x:c>
      <x:c r="E43" s="145" t="str">
        <x:v>Primarni ali strokovni vir iz researcha</x:v>
      </x:c>
      <x:c r="F43" s="145" t="str">
        <x:v>Research pripravljen 2026-08-07; pred produkcijo preveri aktualnost</x:v>
      </x:c>
    </x:row>
  </x:sheetData>
  <x:mergeCells>
    <x:mergeCell ref="A1:F1"/>
    <x:mergeCell ref="A2:F2"/>
  </x:mergeCells>
  <x:pageMargins left="0.7" right="0.7" top="0.75" bottom="0.75" header="0.3" footer="0.3"/>
</x:worksheet>
</file>